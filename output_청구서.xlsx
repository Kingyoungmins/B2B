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사별요약" sheetId="1" state="visible" r:id="rId1"/>
    <sheet xmlns:r="http://schemas.openxmlformats.org/officeDocument/2006/relationships" name="월별실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D2240"/>
      <sz val="13"/>
    </font>
    <font>
      <b val="1"/>
      <color rgb="00FFFFFF"/>
      <sz val="11"/>
    </font>
    <font>
      <b val="1"/>
      <color rgb="007928CA"/>
    </font>
  </fonts>
  <fills count="4">
    <fill>
      <patternFill/>
    </fill>
    <fill>
      <patternFill patternType="gray125"/>
    </fill>
    <fill>
      <patternFill patternType="solid">
        <fgColor rgb="002D2240"/>
      </patternFill>
    </fill>
    <fill>
      <patternFill patternType="solid">
        <fgColor rgb="00FFE0F2"/>
      </patternFill>
    </fill>
  </fills>
  <borders count="6">
    <border>
      <left/>
      <right/>
      <top/>
      <bottom/>
      <diagonal/>
    </border>
    <border>
      <left style="thin">
        <color rgb="00C7C7D9"/>
      </left>
      <right style="thin">
        <color rgb="00C7C7D9"/>
      </right>
      <top style="thin">
        <color rgb="00C7C7D9"/>
      </top>
      <bottom style="thin">
        <color rgb="00C7C7D9"/>
      </bottom>
    </border>
    <border>
      <left/>
      <right/>
      <top style="thin">
        <color rgb="00C7C7D9"/>
      </top>
      <bottom/>
      <diagonal/>
    </border>
    <border>
      <left/>
      <right style="thin">
        <color rgb="00C7C7D9"/>
      </right>
      <top style="thin">
        <color rgb="00C7C7D9"/>
      </top>
      <bottom/>
      <diagonal/>
    </border>
    <border>
      <left/>
      <right/>
      <top style="thin">
        <color rgb="00C7C7D9"/>
      </top>
      <bottom style="thin">
        <color rgb="00C7C7D9"/>
      </bottom>
      <diagonal/>
    </border>
    <border>
      <left/>
      <right style="thin">
        <color rgb="00C7C7D9"/>
      </right>
      <top style="thin">
        <color rgb="00C7C7D9"/>
      </top>
      <bottom style="thin">
        <color rgb="00C7C7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pivotButton="0" quotePrefix="0" xfId="0"/>
    <xf numFmtId="0" fontId="1" fillId="0" borderId="1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21" customWidth="1" min="5" max="5"/>
  </cols>
  <sheetData>
    <row r="1">
      <c r="A1" s="1" t="inlineStr">
        <is>
          <t>■ 2026년 4월 회사별 청구서 요약</t>
        </is>
      </c>
    </row>
    <row r="3">
      <c r="A3" s="2" t="inlineStr">
        <is>
          <t>회사명</t>
        </is>
      </c>
      <c r="B3" s="2" t="inlineStr">
        <is>
          <t>매출</t>
        </is>
      </c>
      <c r="C3" s="2" t="inlineStr">
        <is>
          <t>원가</t>
        </is>
      </c>
      <c r="D3" s="2" t="inlineStr">
        <is>
          <t>마진</t>
        </is>
      </c>
      <c r="E3" s="2" t="inlineStr">
        <is>
          <t>마진율</t>
        </is>
      </c>
    </row>
    <row r="4">
      <c r="A4" s="3" t="inlineStr">
        <is>
          <t>ABC통신</t>
        </is>
      </c>
      <c r="B4" s="3" t="n"/>
      <c r="C4" s="3" t="n"/>
      <c r="D4" s="3">
        <f>B4-C4</f>
        <v/>
      </c>
      <c r="E4" s="3">
        <f>IFERROR(D4/B4,0)</f>
        <v/>
      </c>
    </row>
    <row r="5">
      <c r="A5" s="3" t="inlineStr">
        <is>
          <t>글로벌네트워크</t>
        </is>
      </c>
      <c r="B5" s="3" t="n"/>
      <c r="C5" s="3" t="n"/>
      <c r="D5" s="3">
        <f>B5-C5</f>
        <v/>
      </c>
      <c r="E5" s="3">
        <f>IFERROR(D5/B5,0)</f>
        <v/>
      </c>
    </row>
    <row r="6">
      <c r="A6" s="3" t="inlineStr">
        <is>
          <t>스마트링크</t>
        </is>
      </c>
      <c r="B6" s="3" t="n"/>
      <c r="C6" s="3" t="n"/>
      <c r="D6" s="3">
        <f>B6-C6</f>
        <v/>
      </c>
      <c r="E6" s="3">
        <f>IFERROR(D6/B6,0)</f>
        <v/>
      </c>
    </row>
    <row r="7">
      <c r="A7" s="3" t="inlineStr">
        <is>
          <t>코리아텔레콤</t>
        </is>
      </c>
      <c r="B7" s="3" t="n"/>
      <c r="C7" s="3" t="n"/>
      <c r="D7" s="3">
        <f>B7-C7</f>
        <v/>
      </c>
      <c r="E7" s="3">
        <f>IFERROR(D7/B7,0)</f>
        <v/>
      </c>
    </row>
    <row r="8">
      <c r="A8" s="3" t="inlineStr">
        <is>
          <t>디지털파트너스</t>
        </is>
      </c>
      <c r="B8" s="3" t="n"/>
      <c r="C8" s="3" t="n"/>
      <c r="D8" s="3">
        <f>B8-C8</f>
        <v/>
      </c>
      <c r="E8" s="3">
        <f>IFERROR(D8/B8,0)</f>
        <v/>
      </c>
    </row>
    <row r="9">
      <c r="A9" s="3" t="inlineStr">
        <is>
          <t>프라임모바일</t>
        </is>
      </c>
      <c r="B9" s="3" t="n"/>
      <c r="C9" s="3" t="n"/>
      <c r="D9" s="3">
        <f>B9-C9</f>
        <v/>
      </c>
      <c r="E9" s="3">
        <f>IFERROR(D9/B9,0)</f>
        <v/>
      </c>
    </row>
    <row r="10">
      <c r="A10" s="3" t="inlineStr">
        <is>
          <t>위즈컴</t>
        </is>
      </c>
      <c r="B10" s="3" t="n"/>
      <c r="C10" s="3" t="n"/>
      <c r="D10" s="3">
        <f>B10-C10</f>
        <v/>
      </c>
      <c r="E10" s="3">
        <f>IFERROR(D10/B10,0)</f>
        <v/>
      </c>
    </row>
    <row r="11">
      <c r="A11" s="3" t="inlineStr">
        <is>
          <t>미래통신</t>
        </is>
      </c>
      <c r="B11" s="3" t="n"/>
      <c r="C11" s="3" t="n"/>
      <c r="D11" s="3">
        <f>B11-C11</f>
        <v/>
      </c>
      <c r="E11" s="3">
        <f>IFERROR(D11/B11,0)</f>
        <v/>
      </c>
    </row>
    <row r="12">
      <c r="A12" s="3" t="inlineStr">
        <is>
          <t>네오링크</t>
        </is>
      </c>
      <c r="B12" s="3" t="n"/>
      <c r="C12" s="3" t="n"/>
      <c r="D12" s="3">
        <f>B12-C12</f>
        <v/>
      </c>
      <c r="E12" s="3">
        <f>IFERROR(D12/B12,0)</f>
        <v/>
      </c>
    </row>
    <row r="13">
      <c r="A13" s="3" t="inlineStr">
        <is>
          <t>테크커넥트</t>
        </is>
      </c>
      <c r="B13" s="3" t="n"/>
      <c r="C13" s="3" t="n"/>
      <c r="D13" s="3">
        <f>B13-C13</f>
        <v/>
      </c>
      <c r="E13" s="3">
        <f>IFERROR(D13/B13,0)</f>
        <v/>
      </c>
    </row>
    <row r="14">
      <c r="A14" s="3" t="inlineStr">
        <is>
          <t>오리진네트</t>
        </is>
      </c>
      <c r="B14" s="3" t="n"/>
      <c r="C14" s="3" t="n"/>
      <c r="D14" s="3">
        <f>B14-C14</f>
        <v/>
      </c>
      <c r="E14" s="3">
        <f>IFERROR(D14/B14,0)</f>
        <v/>
      </c>
    </row>
    <row r="15">
      <c r="A15" s="3" t="inlineStr">
        <is>
          <t>라이브셀</t>
        </is>
      </c>
      <c r="B15" s="3" t="n"/>
      <c r="C15" s="3" t="n"/>
      <c r="D15" s="3">
        <f>B15-C15</f>
        <v/>
      </c>
      <c r="E15" s="3">
        <f>IFERROR(D15/B15,0)</f>
        <v/>
      </c>
    </row>
    <row r="16">
      <c r="A16" s="3" t="inlineStr">
        <is>
          <t>퀀텀모바일</t>
        </is>
      </c>
      <c r="B16" s="3" t="n"/>
      <c r="C16" s="3" t="n"/>
      <c r="D16" s="3">
        <f>B16-C16</f>
        <v/>
      </c>
      <c r="E16" s="3">
        <f>IFERROR(D16/B16,0)</f>
        <v/>
      </c>
    </row>
    <row r="17">
      <c r="A17" s="3" t="inlineStr">
        <is>
          <t>벤티지통신</t>
        </is>
      </c>
      <c r="B17" s="3" t="n"/>
      <c r="C17" s="3" t="n"/>
      <c r="D17" s="3">
        <f>B17-C17</f>
        <v/>
      </c>
      <c r="E17" s="3">
        <f>IFERROR(D17/B17,0)</f>
        <v/>
      </c>
    </row>
    <row r="18">
      <c r="A18" s="3" t="inlineStr">
        <is>
          <t>솔라테크</t>
        </is>
      </c>
      <c r="B18" s="3" t="n"/>
      <c r="C18" s="3" t="n"/>
      <c r="D18" s="3">
        <f>B18-C18</f>
        <v/>
      </c>
      <c r="E18" s="3">
        <f>IFERROR(D18/B18,0)</f>
        <v/>
      </c>
    </row>
    <row r="19">
      <c r="A19" s="3" t="inlineStr">
        <is>
          <t>유니콘텔</t>
        </is>
      </c>
      <c r="B19" s="3" t="n"/>
      <c r="C19" s="3" t="n"/>
      <c r="D19" s="3">
        <f>B19-C19</f>
        <v/>
      </c>
      <c r="E19" s="3">
        <f>IFERROR(D19/B19,0)</f>
        <v/>
      </c>
    </row>
    <row r="20">
      <c r="A20" s="3" t="inlineStr">
        <is>
          <t>아크네트</t>
        </is>
      </c>
      <c r="B20" s="3" t="n"/>
      <c r="C20" s="3" t="n"/>
      <c r="D20" s="3">
        <f>B20-C20</f>
        <v/>
      </c>
      <c r="E20" s="3">
        <f>IFERROR(D20/B20,0)</f>
        <v/>
      </c>
    </row>
    <row r="21">
      <c r="A21" s="3" t="inlineStr">
        <is>
          <t>비전모바일</t>
        </is>
      </c>
      <c r="B21" s="3" t="n"/>
      <c r="C21" s="3" t="n"/>
      <c r="D21" s="3">
        <f>B21-C21</f>
        <v/>
      </c>
      <c r="E21" s="3">
        <f>IFERROR(D21/B21,0)</f>
        <v/>
      </c>
    </row>
    <row r="22">
      <c r="A22" s="3" t="inlineStr">
        <is>
          <t>포커스링크</t>
        </is>
      </c>
      <c r="B22" s="3" t="n"/>
      <c r="C22" s="3" t="n"/>
      <c r="D22" s="3">
        <f>B22-C22</f>
        <v/>
      </c>
      <c r="E22" s="3">
        <f>IFERROR(D22/B22,0)</f>
        <v/>
      </c>
    </row>
    <row r="23">
      <c r="A23" s="3" t="inlineStr">
        <is>
          <t>메이저텔레콤</t>
        </is>
      </c>
      <c r="B23" s="3" t="n"/>
      <c r="C23" s="3" t="n"/>
      <c r="D23" s="3">
        <f>B23-C23</f>
        <v/>
      </c>
      <c r="E23" s="3">
        <f>IFERROR(D23/B23,0)</f>
        <v/>
      </c>
    </row>
    <row r="24">
      <c r="A24" s="4" t="inlineStr">
        <is>
          <t>합계 / 평균</t>
        </is>
      </c>
      <c r="B24" s="4">
        <f>SUM(B4:B23)</f>
        <v/>
      </c>
      <c r="C24" s="4">
        <f>SUM(C4:C23)</f>
        <v/>
      </c>
      <c r="D24" s="4">
        <f>SUM(D4:D23)</f>
        <v/>
      </c>
      <c r="E24" s="4">
        <f>AVERAGE(E4:E23)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4" customWidth="1" min="3" max="3"/>
    <col width="8" customWidth="1" min="4" max="4"/>
  </cols>
  <sheetData>
    <row r="1">
      <c r="A1" s="1" t="inlineStr">
        <is>
          <t>■ 월별 누적 실적</t>
        </is>
      </c>
    </row>
    <row r="3">
      <c r="A3" s="2" t="inlineStr">
        <is>
          <t>월</t>
        </is>
      </c>
      <c r="B3" s="2" t="inlineStr">
        <is>
          <t>건수</t>
        </is>
      </c>
      <c r="C3" s="2" t="inlineStr">
        <is>
          <t>금액</t>
        </is>
      </c>
      <c r="D3" s="2" t="inlineStr">
        <is>
          <t>전월대비</t>
        </is>
      </c>
    </row>
    <row r="4">
      <c r="A4" s="3" t="inlineStr">
        <is>
          <t>1월</t>
        </is>
      </c>
      <c r="B4" s="3" t="n"/>
      <c r="C4" s="3" t="n"/>
      <c r="D4" s="3" t="n">
        <v>0</v>
      </c>
    </row>
    <row r="5">
      <c r="A5" s="3" t="inlineStr">
        <is>
          <t>2월</t>
        </is>
      </c>
      <c r="B5" s="3" t="n"/>
      <c r="C5" s="3" t="n"/>
      <c r="D5" s="3">
        <f>C5-C4</f>
        <v/>
      </c>
    </row>
    <row r="6">
      <c r="A6" s="3" t="inlineStr">
        <is>
          <t>3월</t>
        </is>
      </c>
      <c r="B6" s="3" t="n"/>
      <c r="C6" s="3" t="n"/>
      <c r="D6" s="3">
        <f>C6-C5</f>
        <v/>
      </c>
    </row>
    <row r="7">
      <c r="A7" s="3" t="inlineStr">
        <is>
          <t>4월</t>
        </is>
      </c>
      <c r="B7" s="3" t="n"/>
      <c r="C7" s="3" t="n"/>
      <c r="D7" s="3">
        <f>C7-C6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2026-06-09T10:34:45Z</dcterms:created>
  <dcterms:modified xmlns:dcterms="http://purl.org/dc/terms/" xmlns:xsi="http://www.w3.org/2001/XMLSchema-instance" xsi:type="dcterms:W3CDTF">2026-09-08T06:50:54Z</dcterms:modified>
</cp:coreProperties>
</file>