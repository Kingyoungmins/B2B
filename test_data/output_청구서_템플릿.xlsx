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사별요약" sheetId="1" state="visible" r:id="rId1"/>
    <sheet xmlns:r="http://schemas.openxmlformats.org/officeDocument/2006/relationships" name="월별실적" sheetId="2" state="visible" r:id="rId2"/>
    <sheet xmlns:r="http://schemas.openxmlformats.org/officeDocument/2006/relationships" name="a" sheetId="3" state="visible" r:id="rId3"/>
    <sheet xmlns:r="http://schemas.openxmlformats.org/officeDocument/2006/relationships" name="회귀_원본데이터" sheetId="4" state="visible" r:id="rId4"/>
    <sheet xmlns:r="http://schemas.openxmlformats.org/officeDocument/2006/relationships" name="회귀_수식복사" sheetId="5" state="visible" r:id="rId5"/>
    <sheet xmlns:r="http://schemas.openxmlformats.org/officeDocument/2006/relationships" name="회귀_수식복사_대상" sheetId="6" state="visible" r:id="rId6"/>
    <sheet xmlns:r="http://schemas.openxmlformats.org/officeDocument/2006/relationships" name="회귀_병합복붙" sheetId="7" state="visible" r:id="rId7"/>
    <sheet xmlns:r="http://schemas.openxmlformats.org/officeDocument/2006/relationships" name="회귀_삽입삭제" sheetId="8" state="visible" r:id="rId8"/>
    <sheet xmlns:r="http://schemas.openxmlformats.org/officeDocument/2006/relationships" name="회귀_중복계수" sheetId="9" state="visible" r:id="rId9"/>
    <sheet xmlns:r="http://schemas.openxmlformats.org/officeDocument/2006/relationships" name="회귀_청구항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D2240"/>
      <sz val="13"/>
    </font>
    <font>
      <b val="1"/>
      <color rgb="00FFFFFF"/>
      <sz val="11"/>
    </font>
    <font>
      <b val="1"/>
      <color rgb="007928CA"/>
    </font>
  </fonts>
  <fills count="4">
    <fill>
      <patternFill/>
    </fill>
    <fill>
      <patternFill patternType="gray125"/>
    </fill>
    <fill>
      <patternFill patternType="solid">
        <fgColor rgb="002D2240"/>
      </patternFill>
    </fill>
    <fill>
      <patternFill patternType="solid">
        <fgColor rgb="00FFE0F2"/>
      </patternFill>
    </fill>
  </fills>
  <borders count="2">
    <border>
      <left/>
      <right/>
      <top/>
      <bottom/>
      <diagonal/>
    </border>
    <border>
      <left style="thin">
        <color rgb="00C7C7D9"/>
      </left>
      <right style="thin">
        <color rgb="00C7C7D9"/>
      </right>
      <top style="thin">
        <color rgb="00C7C7D9"/>
      </top>
      <bottom style="thin">
        <color rgb="00C7C7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pivotButton="0" quotePrefix="0" xfId="0"/>
    <xf numFmtId="0" fontId="1" fillId="0" borderId="1" pivotButton="0" quotePrefix="0" xfId="0"/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21" customWidth="1" min="5" max="5"/>
  </cols>
  <sheetData>
    <row r="1">
      <c r="A1" s="1" t="inlineStr">
        <is>
          <t>■ 2026년 4월 회사별 청구서 요약</t>
        </is>
      </c>
    </row>
    <row r="2"/>
    <row r="3">
      <c r="A3" s="2" t="inlineStr">
        <is>
          <t>회사명</t>
        </is>
      </c>
      <c r="B3" s="2" t="inlineStr">
        <is>
          <t>매출</t>
        </is>
      </c>
      <c r="C3" s="2" t="inlineStr">
        <is>
          <t>원가</t>
        </is>
      </c>
      <c r="D3" s="2" t="inlineStr">
        <is>
          <t>마진</t>
        </is>
      </c>
      <c r="E3" s="2" t="inlineStr">
        <is>
          <t>마진율</t>
        </is>
      </c>
    </row>
    <row r="4">
      <c r="A4" s="3" t="inlineStr">
        <is>
          <t>ABC통신</t>
        </is>
      </c>
      <c r="B4" s="3" t="n"/>
      <c r="C4" s="3" t="n"/>
      <c r="D4" s="3">
        <f>B4-C4</f>
        <v/>
      </c>
      <c r="E4" s="3">
        <f>IFERROR(D4/B4,0)</f>
        <v/>
      </c>
    </row>
    <row r="5">
      <c r="A5" s="3" t="inlineStr">
        <is>
          <t>글로벌네트워크</t>
        </is>
      </c>
      <c r="B5" s="3" t="n"/>
      <c r="C5" s="3" t="n"/>
      <c r="D5" s="3">
        <f>B5-C5</f>
        <v/>
      </c>
      <c r="E5" s="3">
        <f>IFERROR(D5/B5,0)</f>
        <v/>
      </c>
    </row>
    <row r="6">
      <c r="A6" s="3" t="inlineStr">
        <is>
          <t>스마트링크</t>
        </is>
      </c>
      <c r="B6" s="3" t="n"/>
      <c r="C6" s="3" t="n"/>
      <c r="D6" s="3">
        <f>B6-C6</f>
        <v/>
      </c>
      <c r="E6" s="3">
        <f>IFERROR(D6/B6,0)</f>
        <v/>
      </c>
    </row>
    <row r="7">
      <c r="A7" s="3" t="inlineStr">
        <is>
          <t>코리아텔레콤</t>
        </is>
      </c>
      <c r="B7" s="3" t="n"/>
      <c r="C7" s="3" t="n"/>
      <c r="D7" s="3">
        <f>B7-C7</f>
        <v/>
      </c>
      <c r="E7" s="3">
        <f>IFERROR(D7/B7,0)</f>
        <v/>
      </c>
    </row>
    <row r="8">
      <c r="A8" s="3" t="inlineStr">
        <is>
          <t>디지털파트너스</t>
        </is>
      </c>
      <c r="B8" s="3" t="n"/>
      <c r="C8" s="3" t="n"/>
      <c r="D8" s="3">
        <f>B8-C8</f>
        <v/>
      </c>
      <c r="E8" s="3">
        <f>IFERROR(D8/B8,0)</f>
        <v/>
      </c>
    </row>
    <row r="9">
      <c r="A9" s="3" t="inlineStr">
        <is>
          <t>프라임모바일</t>
        </is>
      </c>
      <c r="B9" s="3" t="n"/>
      <c r="C9" s="3" t="n"/>
      <c r="D9" s="3">
        <f>B9-C9</f>
        <v/>
      </c>
      <c r="E9" s="3">
        <f>IFERROR(D9/B9,0)</f>
        <v/>
      </c>
    </row>
    <row r="10">
      <c r="A10" s="3" t="inlineStr">
        <is>
          <t>위즈컴</t>
        </is>
      </c>
      <c r="B10" s="3" t="n"/>
      <c r="C10" s="3" t="n"/>
      <c r="D10" s="3">
        <f>B10-C10</f>
        <v/>
      </c>
      <c r="E10" s="3">
        <f>IFERROR(D10/B10,0)</f>
        <v/>
      </c>
    </row>
    <row r="11">
      <c r="A11" s="3" t="inlineStr">
        <is>
          <t>미래통신</t>
        </is>
      </c>
      <c r="B11" s="3" t="n"/>
      <c r="C11" s="3" t="n"/>
      <c r="D11" s="3">
        <f>B11-C11</f>
        <v/>
      </c>
      <c r="E11" s="3">
        <f>IFERROR(D11/B11,0)</f>
        <v/>
      </c>
    </row>
    <row r="12">
      <c r="A12" s="3" t="inlineStr">
        <is>
          <t>네오링크</t>
        </is>
      </c>
      <c r="B12" s="3" t="n"/>
      <c r="C12" s="3" t="n"/>
      <c r="D12" s="3">
        <f>B12-C12</f>
        <v/>
      </c>
      <c r="E12" s="3">
        <f>IFERROR(D12/B12,0)</f>
        <v/>
      </c>
    </row>
    <row r="13">
      <c r="A13" s="3" t="inlineStr">
        <is>
          <t>테크커넥트</t>
        </is>
      </c>
      <c r="B13" s="3" t="n"/>
      <c r="C13" s="3" t="n"/>
      <c r="D13" s="3">
        <f>B13-C13</f>
        <v/>
      </c>
      <c r="E13" s="3">
        <f>IFERROR(D13/B13,0)</f>
        <v/>
      </c>
    </row>
    <row r="14">
      <c r="A14" s="3" t="inlineStr">
        <is>
          <t>오리진네트</t>
        </is>
      </c>
      <c r="B14" s="3" t="n"/>
      <c r="C14" s="3" t="n"/>
      <c r="D14" s="3">
        <f>B14-C14</f>
        <v/>
      </c>
      <c r="E14" s="3">
        <f>IFERROR(D14/B14,0)</f>
        <v/>
      </c>
    </row>
    <row r="15">
      <c r="A15" s="3" t="inlineStr">
        <is>
          <t>라이브셀</t>
        </is>
      </c>
      <c r="B15" s="3" t="n"/>
      <c r="C15" s="3" t="n"/>
      <c r="D15" s="3">
        <f>B15-C15</f>
        <v/>
      </c>
      <c r="E15" s="3">
        <f>IFERROR(D15/B15,0)</f>
        <v/>
      </c>
    </row>
    <row r="16">
      <c r="A16" s="3" t="inlineStr">
        <is>
          <t>퀀텀모바일</t>
        </is>
      </c>
      <c r="B16" s="3" t="n"/>
      <c r="C16" s="3" t="n"/>
      <c r="D16" s="3">
        <f>B16-C16</f>
        <v/>
      </c>
      <c r="E16" s="3">
        <f>IFERROR(D16/B16,0)</f>
        <v/>
      </c>
    </row>
    <row r="17">
      <c r="A17" s="3" t="inlineStr">
        <is>
          <t>벤티지통신</t>
        </is>
      </c>
      <c r="B17" s="3" t="n"/>
      <c r="C17" s="3" t="n"/>
      <c r="D17" s="3">
        <f>B17-C17</f>
        <v/>
      </c>
      <c r="E17" s="3">
        <f>IFERROR(D17/B17,0)</f>
        <v/>
      </c>
    </row>
    <row r="18">
      <c r="A18" s="3" t="inlineStr">
        <is>
          <t>솔라테크</t>
        </is>
      </c>
      <c r="B18" s="3" t="n"/>
      <c r="C18" s="3" t="n"/>
      <c r="D18" s="3">
        <f>B18-C18</f>
        <v/>
      </c>
      <c r="E18" s="3">
        <f>IFERROR(D18/B18,0)</f>
        <v/>
      </c>
    </row>
    <row r="19">
      <c r="A19" s="3" t="inlineStr">
        <is>
          <t>유니콘텔</t>
        </is>
      </c>
      <c r="B19" s="3" t="n"/>
      <c r="C19" s="3" t="n"/>
      <c r="D19" s="3">
        <f>B19-C19</f>
        <v/>
      </c>
      <c r="E19" s="3">
        <f>IFERROR(D19/B19,0)</f>
        <v/>
      </c>
    </row>
    <row r="20">
      <c r="A20" s="3" t="inlineStr">
        <is>
          <t>아크네트</t>
        </is>
      </c>
      <c r="B20" s="3" t="n"/>
      <c r="C20" s="3" t="n"/>
      <c r="D20" s="3">
        <f>B20-C20</f>
        <v/>
      </c>
      <c r="E20" s="3">
        <f>IFERROR(D20/B20,0)</f>
        <v/>
      </c>
    </row>
    <row r="21">
      <c r="A21" s="3" t="inlineStr">
        <is>
          <t>비전모바일</t>
        </is>
      </c>
      <c r="B21" s="3" t="n"/>
      <c r="C21" s="3" t="n"/>
      <c r="D21" s="3">
        <f>B21-C21</f>
        <v/>
      </c>
      <c r="E21" s="3">
        <f>IFERROR(D21/B21,0)</f>
        <v/>
      </c>
    </row>
    <row r="22">
      <c r="A22" s="3" t="inlineStr">
        <is>
          <t>포커스링크</t>
        </is>
      </c>
      <c r="B22" s="3" t="n"/>
      <c r="C22" s="3" t="n"/>
      <c r="D22" s="3">
        <f>B22-C22</f>
        <v/>
      </c>
      <c r="E22" s="3">
        <f>IFERROR(D22/B22,0)</f>
        <v/>
      </c>
    </row>
    <row r="23">
      <c r="A23" s="3" t="inlineStr">
        <is>
          <t>메이저텔레콤</t>
        </is>
      </c>
      <c r="B23" s="3" t="n"/>
      <c r="C23" s="3" t="n"/>
      <c r="D23" s="3">
        <f>B23-C23</f>
        <v/>
      </c>
      <c r="E23" s="3">
        <f>IFERROR(D23/B23,0)</f>
        <v/>
      </c>
    </row>
    <row r="24">
      <c r="A24" s="4" t="inlineStr">
        <is>
          <t>합계 / 평균</t>
        </is>
      </c>
      <c r="B24" s="4">
        <f>SUM(B4:B23)</f>
        <v/>
      </c>
      <c r="C24" s="4">
        <f>SUM(C4:C23)</f>
        <v/>
      </c>
      <c r="D24" s="4">
        <f>SUM(D4:D23)</f>
        <v/>
      </c>
      <c r="E24" s="4">
        <f>AVERAGE(E4:E23)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4" customWidth="1" min="3" max="3"/>
    <col width="8" customWidth="1" min="4" max="4"/>
  </cols>
  <sheetData>
    <row r="1">
      <c r="A1" s="1" t="inlineStr">
        <is>
          <t>■ 월별 누적 실적</t>
        </is>
      </c>
    </row>
    <row r="2"/>
    <row r="3">
      <c r="A3" s="2" t="inlineStr">
        <is>
          <t>월</t>
        </is>
      </c>
      <c r="B3" s="2" t="inlineStr">
        <is>
          <t>건수</t>
        </is>
      </c>
      <c r="C3" s="2" t="inlineStr">
        <is>
          <t>금액</t>
        </is>
      </c>
      <c r="D3" s="2" t="inlineStr">
        <is>
          <t>전월대비</t>
        </is>
      </c>
    </row>
    <row r="4">
      <c r="A4" s="3" t="inlineStr">
        <is>
          <t>1월</t>
        </is>
      </c>
      <c r="B4" s="3" t="n"/>
      <c r="C4" s="3" t="n"/>
      <c r="D4" s="3" t="n">
        <v>0</v>
      </c>
    </row>
    <row r="5">
      <c r="A5" s="3" t="inlineStr">
        <is>
          <t>2월</t>
        </is>
      </c>
      <c r="B5" s="3" t="n"/>
      <c r="C5" s="3" t="n"/>
      <c r="D5" s="3">
        <f>C5-C4</f>
        <v/>
      </c>
    </row>
    <row r="6">
      <c r="A6" s="3" t="inlineStr">
        <is>
          <t>3월</t>
        </is>
      </c>
      <c r="B6" s="3" t="n"/>
      <c r="C6" s="3" t="n"/>
      <c r="D6" s="3">
        <f>C6-C5</f>
        <v/>
      </c>
    </row>
    <row r="7">
      <c r="A7" s="3" t="inlineStr">
        <is>
          <t>4월</t>
        </is>
      </c>
      <c r="B7" s="3" t="n"/>
      <c r="C7" s="3" t="n"/>
      <c r="D7" s="3">
        <f>C7-C6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5" customWidth="1" min="3" max="3"/>
    <col width="9" customWidth="1" min="4" max="4"/>
    <col width="13" customWidth="1" min="5" max="5"/>
    <col width="4" customWidth="1" min="6" max="6"/>
    <col width="6" customWidth="1" min="7" max="7"/>
    <col width="6" customWidth="1" min="8" max="8"/>
    <col width="4" customWidth="1" min="9" max="9"/>
    <col width="14" customWidth="1" min="10" max="10"/>
    <col width="7" customWidth="1" min="11" max="11"/>
    <col width="10" customWidth="1" min="12" max="12"/>
    <col width="4" customWidth="1" min="13" max="13"/>
    <col width="6" customWidth="1" min="14" max="14"/>
    <col width="13" customWidth="1" min="15" max="15"/>
    <col width="7" customWidth="1" min="16" max="16"/>
    <col width="6" customWidth="1" min="17" max="17"/>
    <col width="6" customWidth="1" min="18" max="18"/>
    <col width="12" customWidth="1" min="19" max="19"/>
    <col width="12" customWidth="1" min="20" max="20"/>
    <col width="6" customWidth="1" min="21" max="21"/>
    <col width="4" customWidth="1" min="22" max="22"/>
    <col width="8" customWidth="1" min="23" max="23"/>
    <col width="8" customWidth="1" min="24" max="24"/>
  </cols>
  <sheetData>
    <row r="1">
      <c r="A1" s="1" t="inlineStr">
        <is>
          <t>■ 회귀 테스트 원본 데이터 (a시트)</t>
        </is>
      </c>
    </row>
    <row r="2"/>
    <row r="3">
      <c r="A3" s="2" t="inlineStr">
        <is>
          <t>삭제테스트A</t>
        </is>
      </c>
      <c r="B3" s="2" t="inlineStr">
        <is>
          <t>삭제테스트B</t>
        </is>
      </c>
      <c r="C3" s="2" t="inlineStr">
        <is>
          <t>조건값</t>
        </is>
      </c>
      <c r="D3" s="2" t="inlineStr">
        <is>
          <t>회사명</t>
        </is>
      </c>
      <c r="E3" s="2" t="inlineStr">
        <is>
          <t>상품</t>
        </is>
      </c>
      <c r="F3" s="2" t="inlineStr">
        <is>
          <t>상태</t>
        </is>
      </c>
      <c r="G3" s="2" t="inlineStr">
        <is>
          <t>중복개수</t>
        </is>
      </c>
      <c r="H3" s="2" t="inlineStr">
        <is>
          <t>금액</t>
        </is>
      </c>
      <c r="I3" s="2" t="inlineStr">
        <is>
          <t>수량</t>
        </is>
      </c>
      <c r="J3" s="2" t="inlineStr">
        <is>
          <t>청구항목</t>
        </is>
      </c>
      <c r="K3" s="2" t="inlineStr">
        <is>
          <t>단가</t>
        </is>
      </c>
      <c r="L3" s="2" t="inlineStr">
        <is>
          <t>합계수식</t>
        </is>
      </c>
      <c r="M3" s="2" t="inlineStr">
        <is>
          <t>부서</t>
        </is>
      </c>
      <c r="N3" s="2" t="inlineStr">
        <is>
          <t>담당자</t>
        </is>
      </c>
      <c r="O3" s="2" t="inlineStr">
        <is>
          <t>메모</t>
        </is>
      </c>
      <c r="P3" s="2" t="inlineStr">
        <is>
          <t>삭제대상</t>
        </is>
      </c>
      <c r="Q3" s="2" t="inlineStr">
        <is>
          <t>복사대상</t>
        </is>
      </c>
      <c r="R3" s="2" t="inlineStr">
        <is>
          <t>우선순위</t>
        </is>
      </c>
      <c r="S3" s="2" t="inlineStr">
        <is>
          <t>보조일자</t>
        </is>
      </c>
      <c r="T3" s="2" t="inlineStr">
        <is>
          <t>효력발생인자</t>
        </is>
      </c>
      <c r="U3" s="2" t="inlineStr">
        <is>
          <t>계약상태</t>
        </is>
      </c>
      <c r="V3" s="2" t="inlineStr">
        <is>
          <t>지역</t>
        </is>
      </c>
      <c r="W3" s="2" t="inlineStr">
        <is>
          <t>정렬검증ID</t>
        </is>
      </c>
      <c r="X3" s="2" t="inlineStr">
        <is>
          <t>당월매출</t>
        </is>
      </c>
    </row>
    <row r="4">
      <c r="A4" s="3" t="inlineStr">
        <is>
          <t>A삭제1</t>
        </is>
      </c>
      <c r="B4" s="3" t="inlineStr">
        <is>
          <t>B삭제1</t>
        </is>
      </c>
      <c r="C4" s="3" t="n">
        <v>111</v>
      </c>
      <c r="D4" s="3" t="inlineStr">
        <is>
          <t>ABC통신</t>
        </is>
      </c>
      <c r="E4" s="3" t="inlineStr">
        <is>
          <t>B2B 데이터(5G)</t>
        </is>
      </c>
      <c r="F4" s="3" t="inlineStr">
        <is>
          <t>검토</t>
        </is>
      </c>
      <c r="G4" s="3" t="n"/>
      <c r="H4" s="3" t="n">
        <v>1000</v>
      </c>
      <c r="I4" s="3" t="n">
        <v>2</v>
      </c>
      <c r="J4" s="3" t="inlineStr">
        <is>
          <t>기본료</t>
        </is>
      </c>
      <c r="K4" s="3" t="n">
        <v>10000</v>
      </c>
      <c r="L4" s="3">
        <f>I4*K4</f>
        <v/>
      </c>
      <c r="M4" s="3" t="inlineStr">
        <is>
          <t>팀1</t>
        </is>
      </c>
      <c r="N4" s="3" t="inlineStr">
        <is>
          <t>담당1</t>
        </is>
      </c>
      <c r="O4" s="3" t="inlineStr">
        <is>
          <t>행 단위 정렬 검증용</t>
        </is>
      </c>
      <c r="P4" s="3" t="inlineStr">
        <is>
          <t>삭제값1</t>
        </is>
      </c>
      <c r="Q4" s="3" t="n"/>
      <c r="R4" s="3" t="inlineStr">
        <is>
          <t>상</t>
        </is>
      </c>
      <c r="S4" s="3" t="inlineStr">
        <is>
          <t>2026-04-01</t>
        </is>
      </c>
      <c r="T4" s="3" t="inlineStr">
        <is>
          <t>2026-04-20</t>
        </is>
      </c>
      <c r="U4" s="3" t="inlineStr">
        <is>
          <t>신규</t>
        </is>
      </c>
      <c r="V4" s="3" t="inlineStr">
        <is>
          <t>서울</t>
        </is>
      </c>
      <c r="W4" s="3" t="inlineStr">
        <is>
          <t>ROW-01</t>
        </is>
      </c>
      <c r="X4" s="3" t="n">
        <v>900000</v>
      </c>
    </row>
    <row r="5">
      <c r="A5" s="3" t="inlineStr">
        <is>
          <t>A삭제2</t>
        </is>
      </c>
      <c r="B5" s="3" t="inlineStr">
        <is>
          <t>B삭제2</t>
        </is>
      </c>
      <c r="C5" s="3" t="n">
        <v>123</v>
      </c>
      <c r="D5" s="3" t="inlineStr">
        <is>
          <t>글로벌네트워크</t>
        </is>
      </c>
      <c r="E5" s="3" t="inlineStr">
        <is>
          <t>B2B 음성</t>
        </is>
      </c>
      <c r="F5" s="3" t="inlineStr">
        <is>
          <t>정상</t>
        </is>
      </c>
      <c r="G5" s="3" t="n"/>
      <c r="H5" s="3" t="n">
        <v>1000</v>
      </c>
      <c r="I5" s="3" t="n">
        <v>3</v>
      </c>
      <c r="J5" s="3" t="inlineStr">
        <is>
          <t>전국대표 포함한 기본료</t>
        </is>
      </c>
      <c r="K5" s="3" t="n">
        <v>12000</v>
      </c>
      <c r="L5" s="3">
        <f>I5*K5</f>
        <v/>
      </c>
      <c r="M5" s="3" t="inlineStr">
        <is>
          <t>팀2</t>
        </is>
      </c>
      <c r="N5" s="3" t="inlineStr">
        <is>
          <t>담당2</t>
        </is>
      </c>
      <c r="O5" s="3" t="inlineStr">
        <is>
          <t>행 단위 정렬 검증용</t>
        </is>
      </c>
      <c r="P5" s="3" t="inlineStr">
        <is>
          <t>삭제값2</t>
        </is>
      </c>
      <c r="Q5" s="3" t="n"/>
      <c r="R5" s="3" t="inlineStr">
        <is>
          <t>중</t>
        </is>
      </c>
      <c r="S5" s="3" t="inlineStr">
        <is>
          <t>2026-04-02</t>
        </is>
      </c>
      <c r="T5" s="3" t="inlineStr">
        <is>
          <t>2026-01-15</t>
        </is>
      </c>
      <c r="U5" s="3" t="inlineStr">
        <is>
          <t>유지</t>
        </is>
      </c>
      <c r="V5" s="3" t="inlineStr">
        <is>
          <t>부산</t>
        </is>
      </c>
      <c r="W5" s="3" t="inlineStr">
        <is>
          <t>ROW-02</t>
        </is>
      </c>
      <c r="X5" s="3" t="n">
        <v>120000</v>
      </c>
    </row>
    <row r="6">
      <c r="A6" s="3" t="inlineStr">
        <is>
          <t>A삭제3</t>
        </is>
      </c>
      <c r="B6" s="3" t="inlineStr">
        <is>
          <t>B삭제3</t>
        </is>
      </c>
      <c r="C6" s="3" t="n">
        <v>456</v>
      </c>
      <c r="D6" s="3" t="inlineStr">
        <is>
          <t>스마트링크</t>
        </is>
      </c>
      <c r="E6" s="3" t="inlineStr">
        <is>
          <t>전용회선</t>
        </is>
      </c>
      <c r="F6" s="3" t="inlineStr">
        <is>
          <t>정상</t>
        </is>
      </c>
      <c r="G6" s="3" t="n"/>
      <c r="H6" s="3" t="n">
        <v>2000</v>
      </c>
      <c r="I6" s="3" t="n">
        <v>4</v>
      </c>
      <c r="J6" s="3" t="inlineStr">
        <is>
          <t>080포함한 기본료</t>
        </is>
      </c>
      <c r="K6" s="3" t="n">
        <v>15000</v>
      </c>
      <c r="L6" s="3">
        <f>I6*K6</f>
        <v/>
      </c>
      <c r="M6" s="3" t="inlineStr">
        <is>
          <t>팀3</t>
        </is>
      </c>
      <c r="N6" s="3" t="inlineStr">
        <is>
          <t>담당3</t>
        </is>
      </c>
      <c r="O6" s="3" t="inlineStr">
        <is>
          <t>행 단위 정렬 검증용</t>
        </is>
      </c>
      <c r="P6" s="3" t="inlineStr">
        <is>
          <t>삭제값3</t>
        </is>
      </c>
      <c r="Q6" s="3" t="n"/>
      <c r="R6" s="3" t="inlineStr">
        <is>
          <t>하</t>
        </is>
      </c>
      <c r="S6" s="3" t="inlineStr">
        <is>
          <t>2026-04-03</t>
        </is>
      </c>
      <c r="T6" s="3" t="inlineStr">
        <is>
          <t>2026-03-05</t>
        </is>
      </c>
      <c r="U6" s="3" t="inlineStr">
        <is>
          <t>신규</t>
        </is>
      </c>
      <c r="V6" s="3" t="inlineStr">
        <is>
          <t>대전</t>
        </is>
      </c>
      <c r="W6" s="3" t="inlineStr">
        <is>
          <t>ROW-03</t>
        </is>
      </c>
      <c r="X6" s="3" t="n">
        <v>810000</v>
      </c>
    </row>
    <row r="7">
      <c r="A7" s="3" t="inlineStr">
        <is>
          <t>A삭제4</t>
        </is>
      </c>
      <c r="B7" s="3" t="inlineStr">
        <is>
          <t>B삭제4</t>
        </is>
      </c>
      <c r="C7" s="3" t="n">
        <v>789</v>
      </c>
      <c r="D7" s="3" t="inlineStr">
        <is>
          <t>코리아텔레콤</t>
        </is>
      </c>
      <c r="E7" s="3" t="inlineStr">
        <is>
          <t>IoT</t>
        </is>
      </c>
      <c r="F7" s="3" t="inlineStr">
        <is>
          <t>검토</t>
        </is>
      </c>
      <c r="G7" s="3" t="n"/>
      <c r="H7" s="3" t="n">
        <v>3000</v>
      </c>
      <c r="I7" s="3" t="n">
        <v>5</v>
      </c>
      <c r="J7" s="3" t="inlineStr">
        <is>
          <t>월구전화 기본료</t>
        </is>
      </c>
      <c r="K7" s="3" t="n">
        <v>9000</v>
      </c>
      <c r="L7" s="3">
        <f>I7*K7</f>
        <v/>
      </c>
      <c r="M7" s="3" t="inlineStr">
        <is>
          <t>팀4</t>
        </is>
      </c>
      <c r="N7" s="3" t="inlineStr">
        <is>
          <t>담당4</t>
        </is>
      </c>
      <c r="O7" s="3" t="inlineStr">
        <is>
          <t>행 단위 정렬 검증용</t>
        </is>
      </c>
      <c r="P7" s="3" t="inlineStr">
        <is>
          <t>삭제값4</t>
        </is>
      </c>
      <c r="Q7" s="3" t="n"/>
      <c r="R7" s="3" t="inlineStr">
        <is>
          <t>긴급</t>
        </is>
      </c>
      <c r="S7" s="3" t="inlineStr">
        <is>
          <t>2026-04-04</t>
        </is>
      </c>
      <c r="T7" s="3" t="inlineStr">
        <is>
          <t>2026-02-10</t>
        </is>
      </c>
      <c r="U7" s="3" t="inlineStr">
        <is>
          <t>유지</t>
        </is>
      </c>
      <c r="V7" s="3" t="inlineStr">
        <is>
          <t>서울</t>
        </is>
      </c>
      <c r="W7" s="3" t="inlineStr">
        <is>
          <t>ROW-04</t>
        </is>
      </c>
      <c r="X7" s="3" t="n">
        <v>300000</v>
      </c>
    </row>
    <row r="8">
      <c r="A8" s="3" t="inlineStr">
        <is>
          <t>A삭제5</t>
        </is>
      </c>
      <c r="B8" s="3" t="inlineStr">
        <is>
          <t>B삭제5</t>
        </is>
      </c>
      <c r="C8" s="3" t="n">
        <v>123</v>
      </c>
      <c r="D8" s="3" t="inlineStr">
        <is>
          <t>디지털파트너스</t>
        </is>
      </c>
      <c r="E8" s="3" t="inlineStr">
        <is>
          <t>기업메시지</t>
        </is>
      </c>
      <c r="F8" s="3" t="inlineStr">
        <is>
          <t>정상</t>
        </is>
      </c>
      <c r="G8" s="3" t="n"/>
      <c r="H8" s="3" t="n">
        <v>3000</v>
      </c>
      <c r="I8" s="3" t="n">
        <v>6</v>
      </c>
      <c r="J8" s="3" t="inlineStr">
        <is>
          <t>데이터 기본료</t>
        </is>
      </c>
      <c r="K8" s="3" t="n">
        <v>8000</v>
      </c>
      <c r="L8" s="3">
        <f>I8*K8</f>
        <v/>
      </c>
      <c r="M8" s="3" t="inlineStr">
        <is>
          <t>팀1</t>
        </is>
      </c>
      <c r="N8" s="3" t="inlineStr">
        <is>
          <t>담당5</t>
        </is>
      </c>
      <c r="O8" s="3" t="inlineStr">
        <is>
          <t>행 단위 정렬 검증용</t>
        </is>
      </c>
      <c r="P8" s="3" t="inlineStr">
        <is>
          <t>삭제값5</t>
        </is>
      </c>
      <c r="Q8" s="3" t="n"/>
      <c r="R8" s="3" t="inlineStr">
        <is>
          <t>상</t>
        </is>
      </c>
      <c r="S8" s="3" t="inlineStr">
        <is>
          <t>2026-04-05</t>
        </is>
      </c>
      <c r="T8" s="3" t="inlineStr">
        <is>
          <t>2026-06-01</t>
        </is>
      </c>
      <c r="U8" s="3" t="inlineStr">
        <is>
          <t>신규</t>
        </is>
      </c>
      <c r="V8" s="3" t="inlineStr">
        <is>
          <t>부산</t>
        </is>
      </c>
      <c r="W8" s="3" t="inlineStr">
        <is>
          <t>ROW-05</t>
        </is>
      </c>
      <c r="X8" s="3" t="n">
        <v>760000</v>
      </c>
    </row>
    <row r="9">
      <c r="A9" s="3" t="inlineStr">
        <is>
          <t>A삭제6</t>
        </is>
      </c>
      <c r="B9" s="3" t="inlineStr">
        <is>
          <t>B삭제6</t>
        </is>
      </c>
      <c r="C9" s="3" t="n">
        <v>222</v>
      </c>
      <c r="D9" s="3" t="inlineStr">
        <is>
          <t>프라임모바일</t>
        </is>
      </c>
      <c r="E9" s="3" t="inlineStr">
        <is>
          <t>관제서비스</t>
        </is>
      </c>
      <c r="F9" s="3" t="inlineStr">
        <is>
          <t>정상</t>
        </is>
      </c>
      <c r="G9" s="3" t="n"/>
      <c r="H9" s="3" t="n">
        <v>3000</v>
      </c>
      <c r="I9" s="3" t="n">
        <v>2</v>
      </c>
      <c r="J9" s="3" t="inlineStr">
        <is>
          <t>기본료 할인</t>
        </is>
      </c>
      <c r="K9" s="3" t="n">
        <v>7000</v>
      </c>
      <c r="L9" s="3">
        <f>I9*K9</f>
        <v/>
      </c>
      <c r="M9" s="3" t="inlineStr">
        <is>
          <t>팀2</t>
        </is>
      </c>
      <c r="N9" s="3" t="inlineStr">
        <is>
          <t>담당6</t>
        </is>
      </c>
      <c r="O9" s="3" t="inlineStr">
        <is>
          <t>행 단위 정렬 검증용</t>
        </is>
      </c>
      <c r="P9" s="3" t="inlineStr">
        <is>
          <t>삭제값6</t>
        </is>
      </c>
      <c r="Q9" s="3" t="n"/>
      <c r="R9" s="3" t="inlineStr">
        <is>
          <t>중</t>
        </is>
      </c>
      <c r="S9" s="3" t="inlineStr">
        <is>
          <t>2026-04-06</t>
        </is>
      </c>
      <c r="T9" s="3" t="inlineStr">
        <is>
          <t>2026-05-17</t>
        </is>
      </c>
      <c r="U9" s="3" t="inlineStr">
        <is>
          <t>유지</t>
        </is>
      </c>
      <c r="V9" s="3" t="inlineStr">
        <is>
          <t>대전</t>
        </is>
      </c>
      <c r="W9" s="3" t="inlineStr">
        <is>
          <t>ROW-06</t>
        </is>
      </c>
      <c r="X9" s="3" t="n">
        <v>450000</v>
      </c>
    </row>
    <row r="10">
      <c r="A10" s="3" t="inlineStr">
        <is>
          <t>A삭제7</t>
        </is>
      </c>
      <c r="B10" s="3" t="inlineStr">
        <is>
          <t>B삭제7</t>
        </is>
      </c>
      <c r="C10" s="3" t="n">
        <v>456</v>
      </c>
      <c r="D10" s="3" t="inlineStr">
        <is>
          <t>위즈컴</t>
        </is>
      </c>
      <c r="E10" s="3" t="inlineStr">
        <is>
          <t>B2B 데이터(5G)</t>
        </is>
      </c>
      <c r="F10" s="3" t="inlineStr">
        <is>
          <t>검토</t>
        </is>
      </c>
      <c r="G10" s="3" t="n"/>
      <c r="H10" s="3" t="n">
        <v>4500</v>
      </c>
      <c r="I10" s="3" t="n">
        <v>3</v>
      </c>
      <c r="J10" s="3" t="inlineStr">
        <is>
          <t>부가서비스</t>
        </is>
      </c>
      <c r="K10" s="3" t="n">
        <v>10000</v>
      </c>
      <c r="L10" s="3">
        <f>I10*K10</f>
        <v/>
      </c>
      <c r="M10" s="3" t="inlineStr">
        <is>
          <t>팀3</t>
        </is>
      </c>
      <c r="N10" s="3" t="inlineStr">
        <is>
          <t>담당7</t>
        </is>
      </c>
      <c r="O10" s="3" t="inlineStr">
        <is>
          <t>행 단위 정렬 검증용</t>
        </is>
      </c>
      <c r="P10" s="3" t="inlineStr">
        <is>
          <t>삭제값7</t>
        </is>
      </c>
      <c r="Q10" s="3" t="n"/>
      <c r="R10" s="3" t="inlineStr">
        <is>
          <t>하</t>
        </is>
      </c>
      <c r="S10" s="3" t="inlineStr">
        <is>
          <t>2026-04-07</t>
        </is>
      </c>
      <c r="T10" s="3" t="inlineStr">
        <is>
          <t>2026-01-05</t>
        </is>
      </c>
      <c r="U10" s="3" t="inlineStr">
        <is>
          <t>신규</t>
        </is>
      </c>
      <c r="V10" s="3" t="inlineStr">
        <is>
          <t>서울</t>
        </is>
      </c>
      <c r="W10" s="3" t="inlineStr">
        <is>
          <t>ROW-07</t>
        </is>
      </c>
      <c r="X10" s="3" t="n">
        <v>980000</v>
      </c>
    </row>
    <row r="11">
      <c r="A11" s="3" t="inlineStr">
        <is>
          <t>A삭제8</t>
        </is>
      </c>
      <c r="B11" s="3" t="inlineStr">
        <is>
          <t>B삭제8</t>
        </is>
      </c>
      <c r="C11" s="3" t="n">
        <v>123</v>
      </c>
      <c r="D11" s="3" t="inlineStr">
        <is>
          <t>미래통신</t>
        </is>
      </c>
      <c r="E11" s="3" t="inlineStr">
        <is>
          <t>B2B 음성</t>
        </is>
      </c>
      <c r="F11" s="3" t="inlineStr">
        <is>
          <t>정상</t>
        </is>
      </c>
      <c r="G11" s="3" t="n"/>
      <c r="H11" s="3" t="n">
        <v>4500</v>
      </c>
      <c r="I11" s="3" t="n">
        <v>4</v>
      </c>
      <c r="J11" s="3" t="inlineStr">
        <is>
          <t>기본료</t>
        </is>
      </c>
      <c r="K11" s="3" t="n">
        <v>12000</v>
      </c>
      <c r="L11" s="3">
        <f>I11*K11</f>
        <v/>
      </c>
      <c r="M11" s="3" t="inlineStr">
        <is>
          <t>팀4</t>
        </is>
      </c>
      <c r="N11" s="3" t="inlineStr">
        <is>
          <t>담당8</t>
        </is>
      </c>
      <c r="O11" s="3" t="inlineStr">
        <is>
          <t>행 단위 정렬 검증용</t>
        </is>
      </c>
      <c r="P11" s="3" t="inlineStr">
        <is>
          <t>삭제값8</t>
        </is>
      </c>
      <c r="Q11" s="3" t="n"/>
      <c r="R11" s="3" t="inlineStr">
        <is>
          <t>긴급</t>
        </is>
      </c>
      <c r="S11" s="3" t="inlineStr">
        <is>
          <t>2026-04-08</t>
        </is>
      </c>
      <c r="T11" s="3" t="inlineStr">
        <is>
          <t>2026-04-01</t>
        </is>
      </c>
      <c r="U11" s="3" t="inlineStr">
        <is>
          <t>유지</t>
        </is>
      </c>
      <c r="V11" s="3" t="inlineStr">
        <is>
          <t>부산</t>
        </is>
      </c>
      <c r="W11" s="3" t="inlineStr">
        <is>
          <t>ROW-08</t>
        </is>
      </c>
      <c r="X11" s="3" t="n">
        <v>210000</v>
      </c>
    </row>
    <row r="12">
      <c r="A12" s="3" t="inlineStr">
        <is>
          <t>A삭제9</t>
        </is>
      </c>
      <c r="B12" s="3" t="inlineStr">
        <is>
          <t>B삭제9</t>
        </is>
      </c>
      <c r="C12" s="3" t="n">
        <v>111</v>
      </c>
      <c r="D12" s="3" t="inlineStr">
        <is>
          <t>네오링크</t>
        </is>
      </c>
      <c r="E12" s="3" t="inlineStr">
        <is>
          <t>전용회선</t>
        </is>
      </c>
      <c r="F12" s="3" t="inlineStr">
        <is>
          <t>정상</t>
        </is>
      </c>
      <c r="G12" s="3" t="n"/>
      <c r="H12" s="3" t="n">
        <v>7000</v>
      </c>
      <c r="I12" s="3" t="n">
        <v>5</v>
      </c>
      <c r="J12" s="3" t="inlineStr">
        <is>
          <t>기본료</t>
        </is>
      </c>
      <c r="K12" s="3" t="n">
        <v>15000</v>
      </c>
      <c r="L12" s="3">
        <f>I12*K12</f>
        <v/>
      </c>
      <c r="M12" s="3" t="inlineStr">
        <is>
          <t>팀1</t>
        </is>
      </c>
      <c r="N12" s="3" t="inlineStr">
        <is>
          <t>담당9</t>
        </is>
      </c>
      <c r="O12" s="3" t="inlineStr">
        <is>
          <t>행 단위 정렬 검증용</t>
        </is>
      </c>
      <c r="P12" s="3" t="inlineStr">
        <is>
          <t>삭제값9</t>
        </is>
      </c>
      <c r="Q12" s="3" t="n"/>
      <c r="R12" s="3" t="inlineStr">
        <is>
          <t>상</t>
        </is>
      </c>
      <c r="S12" s="3" t="inlineStr">
        <is>
          <t>2026-04-09</t>
        </is>
      </c>
      <c r="T12" s="3" t="inlineStr">
        <is>
          <t>2026-03-25</t>
        </is>
      </c>
      <c r="U12" s="3" t="inlineStr">
        <is>
          <t>신규</t>
        </is>
      </c>
      <c r="V12" s="3" t="inlineStr">
        <is>
          <t>대전</t>
        </is>
      </c>
      <c r="W12" s="3" t="inlineStr">
        <is>
          <t>ROW-09</t>
        </is>
      </c>
      <c r="X12" s="3" t="n">
        <v>660000</v>
      </c>
    </row>
    <row r="13">
      <c r="A13" s="3" t="inlineStr">
        <is>
          <t>A삭제10</t>
        </is>
      </c>
      <c r="B13" s="3" t="inlineStr">
        <is>
          <t>B삭제10</t>
        </is>
      </c>
      <c r="C13" s="3" t="n">
        <v>222</v>
      </c>
      <c r="D13" s="3" t="inlineStr">
        <is>
          <t>테크커넥트</t>
        </is>
      </c>
      <c r="E13" s="3" t="inlineStr">
        <is>
          <t>IoT</t>
        </is>
      </c>
      <c r="F13" s="3" t="inlineStr">
        <is>
          <t>검토</t>
        </is>
      </c>
      <c r="G13" s="3" t="n"/>
      <c r="H13" s="3" t="n">
        <v>8200</v>
      </c>
      <c r="I13" s="3" t="n">
        <v>6</v>
      </c>
      <c r="J13" s="3" t="inlineStr">
        <is>
          <t>전국대표 포함한 기본료</t>
        </is>
      </c>
      <c r="K13" s="3" t="n">
        <v>9000</v>
      </c>
      <c r="L13" s="3">
        <f>I13*K13</f>
        <v/>
      </c>
      <c r="M13" s="3" t="inlineStr">
        <is>
          <t>팀2</t>
        </is>
      </c>
      <c r="N13" s="3" t="inlineStr">
        <is>
          <t>담당10</t>
        </is>
      </c>
      <c r="O13" s="3" t="inlineStr">
        <is>
          <t>행 단위 정렬 검증용</t>
        </is>
      </c>
      <c r="P13" s="3" t="inlineStr">
        <is>
          <t>삭제값10</t>
        </is>
      </c>
      <c r="Q13" s="3" t="n"/>
      <c r="R13" s="3" t="inlineStr">
        <is>
          <t>중</t>
        </is>
      </c>
      <c r="S13" s="3" t="inlineStr">
        <is>
          <t>2026-04-10</t>
        </is>
      </c>
      <c r="T13" s="3" t="inlineStr">
        <is>
          <t>2026-02-28</t>
        </is>
      </c>
      <c r="U13" s="3" t="inlineStr">
        <is>
          <t>유지</t>
        </is>
      </c>
      <c r="V13" s="3" t="inlineStr">
        <is>
          <t>서울</t>
        </is>
      </c>
      <c r="W13" s="3" t="inlineStr">
        <is>
          <t>ROW-10</t>
        </is>
      </c>
      <c r="X13" s="3" t="n">
        <v>530000</v>
      </c>
    </row>
    <row r="14">
      <c r="A14" s="3" t="inlineStr">
        <is>
          <t>A삭제11</t>
        </is>
      </c>
      <c r="B14" s="3" t="inlineStr">
        <is>
          <t>B삭제11</t>
        </is>
      </c>
      <c r="C14" s="3" t="n">
        <v>123</v>
      </c>
      <c r="D14" s="3" t="inlineStr">
        <is>
          <t>오리진네트</t>
        </is>
      </c>
      <c r="E14" s="3" t="inlineStr">
        <is>
          <t>기업메시지</t>
        </is>
      </c>
      <c r="F14" s="3" t="inlineStr">
        <is>
          <t>정상</t>
        </is>
      </c>
      <c r="G14" s="3" t="n"/>
      <c r="H14" s="3" t="n">
        <v>8200</v>
      </c>
      <c r="I14" s="3" t="n">
        <v>2</v>
      </c>
      <c r="J14" s="3" t="inlineStr">
        <is>
          <t>080포함한 기본료</t>
        </is>
      </c>
      <c r="K14" s="3" t="n">
        <v>8000</v>
      </c>
      <c r="L14" s="3">
        <f>I14*K14</f>
        <v/>
      </c>
      <c r="M14" s="3" t="inlineStr">
        <is>
          <t>팀3</t>
        </is>
      </c>
      <c r="N14" s="3" t="inlineStr">
        <is>
          <t>담당11</t>
        </is>
      </c>
      <c r="O14" s="3" t="inlineStr">
        <is>
          <t>행 단위 정렬 검증용</t>
        </is>
      </c>
      <c r="P14" s="3" t="inlineStr">
        <is>
          <t>삭제값11</t>
        </is>
      </c>
      <c r="Q14" s="3" t="n"/>
      <c r="R14" s="3" t="inlineStr">
        <is>
          <t>하</t>
        </is>
      </c>
      <c r="S14" s="3" t="inlineStr">
        <is>
          <t>2026-04-11</t>
        </is>
      </c>
      <c r="T14" s="3" t="inlineStr">
        <is>
          <t>2026-05-01</t>
        </is>
      </c>
      <c r="U14" s="3" t="inlineStr">
        <is>
          <t>신규</t>
        </is>
      </c>
      <c r="V14" s="3" t="inlineStr">
        <is>
          <t>부산</t>
        </is>
      </c>
      <c r="W14" s="3" t="inlineStr">
        <is>
          <t>ROW-11</t>
        </is>
      </c>
      <c r="X14" s="3" t="n">
        <v>150000</v>
      </c>
    </row>
    <row r="15">
      <c r="A15" s="3" t="inlineStr">
        <is>
          <t>A삭제12</t>
        </is>
      </c>
      <c r="B15" s="3" t="inlineStr">
        <is>
          <t>B삭제12</t>
        </is>
      </c>
      <c r="C15" s="3" t="n">
        <v>789</v>
      </c>
      <c r="D15" s="3" t="inlineStr">
        <is>
          <t>라이브셀</t>
        </is>
      </c>
      <c r="E15" s="3" t="inlineStr">
        <is>
          <t>관제서비스</t>
        </is>
      </c>
      <c r="F15" s="3" t="inlineStr">
        <is>
          <t>정상</t>
        </is>
      </c>
      <c r="G15" s="3" t="n"/>
      <c r="H15" s="3" t="n">
        <v>9100</v>
      </c>
      <c r="I15" s="3" t="n">
        <v>3</v>
      </c>
      <c r="J15" s="3" t="inlineStr">
        <is>
          <t>월구전화 기본료</t>
        </is>
      </c>
      <c r="K15" s="3" t="n">
        <v>7000</v>
      </c>
      <c r="L15" s="3">
        <f>I15*K15</f>
        <v/>
      </c>
      <c r="M15" s="3" t="inlineStr">
        <is>
          <t>팀4</t>
        </is>
      </c>
      <c r="N15" s="3" t="inlineStr">
        <is>
          <t>담당12</t>
        </is>
      </c>
      <c r="O15" s="3" t="inlineStr">
        <is>
          <t>행 단위 정렬 검증용</t>
        </is>
      </c>
      <c r="P15" s="3" t="inlineStr">
        <is>
          <t>삭제값12</t>
        </is>
      </c>
      <c r="Q15" s="3" t="n"/>
      <c r="R15" s="3" t="inlineStr">
        <is>
          <t>긴급</t>
        </is>
      </c>
      <c r="S15" s="3" t="inlineStr">
        <is>
          <t>2026-04-12</t>
        </is>
      </c>
      <c r="T15" s="3" t="inlineStr">
        <is>
          <t>2026-06-15</t>
        </is>
      </c>
      <c r="U15" s="3" t="inlineStr">
        <is>
          <t>유지</t>
        </is>
      </c>
      <c r="V15" s="3" t="inlineStr">
        <is>
          <t>대전</t>
        </is>
      </c>
      <c r="W15" s="3" t="inlineStr">
        <is>
          <t>ROW-12</t>
        </is>
      </c>
      <c r="X15" s="3" t="n">
        <v>880000</v>
      </c>
    </row>
  </sheetData>
  <mergeCells count="1"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5" customWidth="1" min="3" max="3"/>
    <col width="9" customWidth="1" min="4" max="4"/>
    <col width="13" customWidth="1" min="5" max="5"/>
    <col width="4" customWidth="1" min="6" max="6"/>
    <col width="6" customWidth="1" min="7" max="7"/>
    <col width="6" customWidth="1" min="8" max="8"/>
    <col width="4" customWidth="1" min="9" max="9"/>
    <col width="14" customWidth="1" min="10" max="10"/>
    <col width="7" customWidth="1" min="11" max="11"/>
    <col width="10" customWidth="1" min="12" max="12"/>
    <col width="4" customWidth="1" min="13" max="13"/>
    <col width="6" customWidth="1" min="14" max="14"/>
    <col width="13" customWidth="1" min="15" max="15"/>
    <col width="7" customWidth="1" min="16" max="16"/>
    <col width="6" customWidth="1" min="17" max="17"/>
    <col width="6" customWidth="1" min="18" max="18"/>
    <col width="12" customWidth="1" min="19" max="19"/>
    <col width="12" customWidth="1" min="20" max="20"/>
    <col width="6" customWidth="1" min="21" max="21"/>
    <col width="4" customWidth="1" min="22" max="22"/>
    <col width="8" customWidth="1" min="23" max="23"/>
    <col width="8" customWidth="1" min="24" max="24"/>
  </cols>
  <sheetData>
    <row r="1">
      <c r="A1" s="1" t="inlineStr">
        <is>
          <t>■ 회귀 테스트 원본 데이터</t>
        </is>
      </c>
    </row>
    <row r="2"/>
    <row r="3">
      <c r="A3" s="2" t="inlineStr">
        <is>
          <t>삭제테스트A</t>
        </is>
      </c>
      <c r="B3" s="2" t="inlineStr">
        <is>
          <t>삭제테스트B</t>
        </is>
      </c>
      <c r="C3" s="2" t="inlineStr">
        <is>
          <t>조건값</t>
        </is>
      </c>
      <c r="D3" s="2" t="inlineStr">
        <is>
          <t>회사명</t>
        </is>
      </c>
      <c r="E3" s="2" t="inlineStr">
        <is>
          <t>상품</t>
        </is>
      </c>
      <c r="F3" s="2" t="inlineStr">
        <is>
          <t>상태</t>
        </is>
      </c>
      <c r="G3" s="2" t="inlineStr">
        <is>
          <t>중복개수</t>
        </is>
      </c>
      <c r="H3" s="2" t="inlineStr">
        <is>
          <t>금액</t>
        </is>
      </c>
      <c r="I3" s="2" t="inlineStr">
        <is>
          <t>수량</t>
        </is>
      </c>
      <c r="J3" s="2" t="inlineStr">
        <is>
          <t>청구항목</t>
        </is>
      </c>
      <c r="K3" s="2" t="inlineStr">
        <is>
          <t>단가</t>
        </is>
      </c>
      <c r="L3" s="2" t="inlineStr">
        <is>
          <t>합계수식</t>
        </is>
      </c>
      <c r="M3" s="2" t="inlineStr">
        <is>
          <t>부서</t>
        </is>
      </c>
      <c r="N3" s="2" t="inlineStr">
        <is>
          <t>담당자</t>
        </is>
      </c>
      <c r="O3" s="2" t="inlineStr">
        <is>
          <t>메모</t>
        </is>
      </c>
      <c r="P3" s="2" t="inlineStr">
        <is>
          <t>삭제대상</t>
        </is>
      </c>
      <c r="Q3" s="2" t="inlineStr">
        <is>
          <t>복사대상</t>
        </is>
      </c>
      <c r="R3" s="2" t="inlineStr">
        <is>
          <t>우선순위</t>
        </is>
      </c>
      <c r="S3" s="2" t="inlineStr">
        <is>
          <t>보조일자</t>
        </is>
      </c>
      <c r="T3" s="2" t="inlineStr">
        <is>
          <t>효력발생인자</t>
        </is>
      </c>
      <c r="U3" s="2" t="inlineStr">
        <is>
          <t>계약상태</t>
        </is>
      </c>
      <c r="V3" s="2" t="inlineStr">
        <is>
          <t>지역</t>
        </is>
      </c>
      <c r="W3" s="2" t="inlineStr">
        <is>
          <t>정렬검증ID</t>
        </is>
      </c>
      <c r="X3" s="2" t="inlineStr">
        <is>
          <t>당월매출</t>
        </is>
      </c>
    </row>
    <row r="4">
      <c r="A4" s="3" t="inlineStr">
        <is>
          <t>A삭제1</t>
        </is>
      </c>
      <c r="B4" s="3" t="inlineStr">
        <is>
          <t>B삭제1</t>
        </is>
      </c>
      <c r="C4" s="3" t="n">
        <v>111</v>
      </c>
      <c r="D4" s="3" t="inlineStr">
        <is>
          <t>ABC통신</t>
        </is>
      </c>
      <c r="E4" s="3" t="inlineStr">
        <is>
          <t>B2B 데이터(5G)</t>
        </is>
      </c>
      <c r="F4" s="3" t="inlineStr">
        <is>
          <t>검토</t>
        </is>
      </c>
      <c r="G4" s="3" t="n"/>
      <c r="H4" s="3" t="n">
        <v>1000</v>
      </c>
      <c r="I4" s="3" t="n">
        <v>2</v>
      </c>
      <c r="J4" s="3" t="inlineStr">
        <is>
          <t>기본료</t>
        </is>
      </c>
      <c r="K4" s="3" t="n">
        <v>10000</v>
      </c>
      <c r="L4" s="3">
        <f>I4*K4</f>
        <v/>
      </c>
      <c r="M4" s="3" t="inlineStr">
        <is>
          <t>팀1</t>
        </is>
      </c>
      <c r="N4" s="3" t="inlineStr">
        <is>
          <t>담당1</t>
        </is>
      </c>
      <c r="O4" s="3" t="inlineStr">
        <is>
          <t>행 단위 정렬 검증용</t>
        </is>
      </c>
      <c r="P4" s="3" t="inlineStr">
        <is>
          <t>삭제값1</t>
        </is>
      </c>
      <c r="Q4" s="3" t="n"/>
      <c r="R4" s="3" t="inlineStr">
        <is>
          <t>상</t>
        </is>
      </c>
      <c r="S4" s="3" t="inlineStr">
        <is>
          <t>2026-04-01</t>
        </is>
      </c>
      <c r="T4" s="3" t="inlineStr">
        <is>
          <t>2026-04-20</t>
        </is>
      </c>
      <c r="U4" s="3" t="inlineStr">
        <is>
          <t>신규</t>
        </is>
      </c>
      <c r="V4" s="3" t="inlineStr">
        <is>
          <t>서울</t>
        </is>
      </c>
      <c r="W4" s="3" t="inlineStr">
        <is>
          <t>ROW-01</t>
        </is>
      </c>
      <c r="X4" s="3" t="n">
        <v>900000</v>
      </c>
    </row>
    <row r="5">
      <c r="A5" s="3" t="inlineStr">
        <is>
          <t>A삭제2</t>
        </is>
      </c>
      <c r="B5" s="3" t="inlineStr">
        <is>
          <t>B삭제2</t>
        </is>
      </c>
      <c r="C5" s="3" t="n">
        <v>123</v>
      </c>
      <c r="D5" s="3" t="inlineStr">
        <is>
          <t>글로벌네트워크</t>
        </is>
      </c>
      <c r="E5" s="3" t="inlineStr">
        <is>
          <t>B2B 음성</t>
        </is>
      </c>
      <c r="F5" s="3" t="inlineStr">
        <is>
          <t>정상</t>
        </is>
      </c>
      <c r="G5" s="3" t="n"/>
      <c r="H5" s="3" t="n">
        <v>1000</v>
      </c>
      <c r="I5" s="3" t="n">
        <v>3</v>
      </c>
      <c r="J5" s="3" t="inlineStr">
        <is>
          <t>전국대표 포함한 기본료</t>
        </is>
      </c>
      <c r="K5" s="3" t="n">
        <v>12000</v>
      </c>
      <c r="L5" s="3">
        <f>I5*K5</f>
        <v/>
      </c>
      <c r="M5" s="3" t="inlineStr">
        <is>
          <t>팀2</t>
        </is>
      </c>
      <c r="N5" s="3" t="inlineStr">
        <is>
          <t>담당2</t>
        </is>
      </c>
      <c r="O5" s="3" t="inlineStr">
        <is>
          <t>행 단위 정렬 검증용</t>
        </is>
      </c>
      <c r="P5" s="3" t="inlineStr">
        <is>
          <t>삭제값2</t>
        </is>
      </c>
      <c r="Q5" s="3" t="n"/>
      <c r="R5" s="3" t="inlineStr">
        <is>
          <t>중</t>
        </is>
      </c>
      <c r="S5" s="3" t="inlineStr">
        <is>
          <t>2026-04-02</t>
        </is>
      </c>
      <c r="T5" s="3" t="inlineStr">
        <is>
          <t>2026-01-15</t>
        </is>
      </c>
      <c r="U5" s="3" t="inlineStr">
        <is>
          <t>유지</t>
        </is>
      </c>
      <c r="V5" s="3" t="inlineStr">
        <is>
          <t>부산</t>
        </is>
      </c>
      <c r="W5" s="3" t="inlineStr">
        <is>
          <t>ROW-02</t>
        </is>
      </c>
      <c r="X5" s="3" t="n">
        <v>120000</v>
      </c>
    </row>
    <row r="6">
      <c r="A6" s="3" t="inlineStr">
        <is>
          <t>A삭제3</t>
        </is>
      </c>
      <c r="B6" s="3" t="inlineStr">
        <is>
          <t>B삭제3</t>
        </is>
      </c>
      <c r="C6" s="3" t="n">
        <v>456</v>
      </c>
      <c r="D6" s="3" t="inlineStr">
        <is>
          <t>스마트링크</t>
        </is>
      </c>
      <c r="E6" s="3" t="inlineStr">
        <is>
          <t>전용회선</t>
        </is>
      </c>
      <c r="F6" s="3" t="inlineStr">
        <is>
          <t>정상</t>
        </is>
      </c>
      <c r="G6" s="3" t="n"/>
      <c r="H6" s="3" t="n">
        <v>2000</v>
      </c>
      <c r="I6" s="3" t="n">
        <v>4</v>
      </c>
      <c r="J6" s="3" t="inlineStr">
        <is>
          <t>080포함한 기본료</t>
        </is>
      </c>
      <c r="K6" s="3" t="n">
        <v>15000</v>
      </c>
      <c r="L6" s="3">
        <f>I6*K6</f>
        <v/>
      </c>
      <c r="M6" s="3" t="inlineStr">
        <is>
          <t>팀3</t>
        </is>
      </c>
      <c r="N6" s="3" t="inlineStr">
        <is>
          <t>담당3</t>
        </is>
      </c>
      <c r="O6" s="3" t="inlineStr">
        <is>
          <t>행 단위 정렬 검증용</t>
        </is>
      </c>
      <c r="P6" s="3" t="inlineStr">
        <is>
          <t>삭제값3</t>
        </is>
      </c>
      <c r="Q6" s="3" t="n"/>
      <c r="R6" s="3" t="inlineStr">
        <is>
          <t>하</t>
        </is>
      </c>
      <c r="S6" s="3" t="inlineStr">
        <is>
          <t>2026-04-03</t>
        </is>
      </c>
      <c r="T6" s="3" t="inlineStr">
        <is>
          <t>2026-03-05</t>
        </is>
      </c>
      <c r="U6" s="3" t="inlineStr">
        <is>
          <t>신규</t>
        </is>
      </c>
      <c r="V6" s="3" t="inlineStr">
        <is>
          <t>대전</t>
        </is>
      </c>
      <c r="W6" s="3" t="inlineStr">
        <is>
          <t>ROW-03</t>
        </is>
      </c>
      <c r="X6" s="3" t="n">
        <v>810000</v>
      </c>
    </row>
    <row r="7">
      <c r="A7" s="3" t="inlineStr">
        <is>
          <t>A삭제4</t>
        </is>
      </c>
      <c r="B7" s="3" t="inlineStr">
        <is>
          <t>B삭제4</t>
        </is>
      </c>
      <c r="C7" s="3" t="n">
        <v>789</v>
      </c>
      <c r="D7" s="3" t="inlineStr">
        <is>
          <t>코리아텔레콤</t>
        </is>
      </c>
      <c r="E7" s="3" t="inlineStr">
        <is>
          <t>IoT</t>
        </is>
      </c>
      <c r="F7" s="3" t="inlineStr">
        <is>
          <t>검토</t>
        </is>
      </c>
      <c r="G7" s="3" t="n"/>
      <c r="H7" s="3" t="n">
        <v>3000</v>
      </c>
      <c r="I7" s="3" t="n">
        <v>5</v>
      </c>
      <c r="J7" s="3" t="inlineStr">
        <is>
          <t>월구전화 기본료</t>
        </is>
      </c>
      <c r="K7" s="3" t="n">
        <v>9000</v>
      </c>
      <c r="L7" s="3">
        <f>I7*K7</f>
        <v/>
      </c>
      <c r="M7" s="3" t="inlineStr">
        <is>
          <t>팀4</t>
        </is>
      </c>
      <c r="N7" s="3" t="inlineStr">
        <is>
          <t>담당4</t>
        </is>
      </c>
      <c r="O7" s="3" t="inlineStr">
        <is>
          <t>행 단위 정렬 검증용</t>
        </is>
      </c>
      <c r="P7" s="3" t="inlineStr">
        <is>
          <t>삭제값4</t>
        </is>
      </c>
      <c r="Q7" s="3" t="n"/>
      <c r="R7" s="3" t="inlineStr">
        <is>
          <t>긴급</t>
        </is>
      </c>
      <c r="S7" s="3" t="inlineStr">
        <is>
          <t>2026-04-04</t>
        </is>
      </c>
      <c r="T7" s="3" t="inlineStr">
        <is>
          <t>2026-02-10</t>
        </is>
      </c>
      <c r="U7" s="3" t="inlineStr">
        <is>
          <t>유지</t>
        </is>
      </c>
      <c r="V7" s="3" t="inlineStr">
        <is>
          <t>서울</t>
        </is>
      </c>
      <c r="W7" s="3" t="inlineStr">
        <is>
          <t>ROW-04</t>
        </is>
      </c>
      <c r="X7" s="3" t="n">
        <v>300000</v>
      </c>
    </row>
    <row r="8">
      <c r="A8" s="3" t="inlineStr">
        <is>
          <t>A삭제5</t>
        </is>
      </c>
      <c r="B8" s="3" t="inlineStr">
        <is>
          <t>B삭제5</t>
        </is>
      </c>
      <c r="C8" s="3" t="n">
        <v>123</v>
      </c>
      <c r="D8" s="3" t="inlineStr">
        <is>
          <t>디지털파트너스</t>
        </is>
      </c>
      <c r="E8" s="3" t="inlineStr">
        <is>
          <t>기업메시지</t>
        </is>
      </c>
      <c r="F8" s="3" t="inlineStr">
        <is>
          <t>정상</t>
        </is>
      </c>
      <c r="G8" s="3" t="n"/>
      <c r="H8" s="3" t="n">
        <v>3000</v>
      </c>
      <c r="I8" s="3" t="n">
        <v>6</v>
      </c>
      <c r="J8" s="3" t="inlineStr">
        <is>
          <t>데이터 기본료</t>
        </is>
      </c>
      <c r="K8" s="3" t="n">
        <v>8000</v>
      </c>
      <c r="L8" s="3">
        <f>I8*K8</f>
        <v/>
      </c>
      <c r="M8" s="3" t="inlineStr">
        <is>
          <t>팀1</t>
        </is>
      </c>
      <c r="N8" s="3" t="inlineStr">
        <is>
          <t>담당5</t>
        </is>
      </c>
      <c r="O8" s="3" t="inlineStr">
        <is>
          <t>행 단위 정렬 검증용</t>
        </is>
      </c>
      <c r="P8" s="3" t="inlineStr">
        <is>
          <t>삭제값5</t>
        </is>
      </c>
      <c r="Q8" s="3" t="n"/>
      <c r="R8" s="3" t="inlineStr">
        <is>
          <t>상</t>
        </is>
      </c>
      <c r="S8" s="3" t="inlineStr">
        <is>
          <t>2026-04-05</t>
        </is>
      </c>
      <c r="T8" s="3" t="inlineStr">
        <is>
          <t>2026-06-01</t>
        </is>
      </c>
      <c r="U8" s="3" t="inlineStr">
        <is>
          <t>신규</t>
        </is>
      </c>
      <c r="V8" s="3" t="inlineStr">
        <is>
          <t>부산</t>
        </is>
      </c>
      <c r="W8" s="3" t="inlineStr">
        <is>
          <t>ROW-05</t>
        </is>
      </c>
      <c r="X8" s="3" t="n">
        <v>760000</v>
      </c>
    </row>
    <row r="9">
      <c r="A9" s="3" t="inlineStr">
        <is>
          <t>A삭제6</t>
        </is>
      </c>
      <c r="B9" s="3" t="inlineStr">
        <is>
          <t>B삭제6</t>
        </is>
      </c>
      <c r="C9" s="3" t="n">
        <v>222</v>
      </c>
      <c r="D9" s="3" t="inlineStr">
        <is>
          <t>프라임모바일</t>
        </is>
      </c>
      <c r="E9" s="3" t="inlineStr">
        <is>
          <t>관제서비스</t>
        </is>
      </c>
      <c r="F9" s="3" t="inlineStr">
        <is>
          <t>정상</t>
        </is>
      </c>
      <c r="G9" s="3" t="n"/>
      <c r="H9" s="3" t="n">
        <v>3000</v>
      </c>
      <c r="I9" s="3" t="n">
        <v>2</v>
      </c>
      <c r="J9" s="3" t="inlineStr">
        <is>
          <t>기본료 할인</t>
        </is>
      </c>
      <c r="K9" s="3" t="n">
        <v>7000</v>
      </c>
      <c r="L9" s="3">
        <f>I9*K9</f>
        <v/>
      </c>
      <c r="M9" s="3" t="inlineStr">
        <is>
          <t>팀2</t>
        </is>
      </c>
      <c r="N9" s="3" t="inlineStr">
        <is>
          <t>담당6</t>
        </is>
      </c>
      <c r="O9" s="3" t="inlineStr">
        <is>
          <t>행 단위 정렬 검증용</t>
        </is>
      </c>
      <c r="P9" s="3" t="inlineStr">
        <is>
          <t>삭제값6</t>
        </is>
      </c>
      <c r="Q9" s="3" t="n"/>
      <c r="R9" s="3" t="inlineStr">
        <is>
          <t>중</t>
        </is>
      </c>
      <c r="S9" s="3" t="inlineStr">
        <is>
          <t>2026-04-06</t>
        </is>
      </c>
      <c r="T9" s="3" t="inlineStr">
        <is>
          <t>2026-05-17</t>
        </is>
      </c>
      <c r="U9" s="3" t="inlineStr">
        <is>
          <t>유지</t>
        </is>
      </c>
      <c r="V9" s="3" t="inlineStr">
        <is>
          <t>대전</t>
        </is>
      </c>
      <c r="W9" s="3" t="inlineStr">
        <is>
          <t>ROW-06</t>
        </is>
      </c>
      <c r="X9" s="3" t="n">
        <v>450000</v>
      </c>
    </row>
    <row r="10">
      <c r="A10" s="3" t="inlineStr">
        <is>
          <t>A삭제7</t>
        </is>
      </c>
      <c r="B10" s="3" t="inlineStr">
        <is>
          <t>B삭제7</t>
        </is>
      </c>
      <c r="C10" s="3" t="n">
        <v>456</v>
      </c>
      <c r="D10" s="3" t="inlineStr">
        <is>
          <t>위즈컴</t>
        </is>
      </c>
      <c r="E10" s="3" t="inlineStr">
        <is>
          <t>B2B 데이터(5G)</t>
        </is>
      </c>
      <c r="F10" s="3" t="inlineStr">
        <is>
          <t>검토</t>
        </is>
      </c>
      <c r="G10" s="3" t="n"/>
      <c r="H10" s="3" t="n">
        <v>4500</v>
      </c>
      <c r="I10" s="3" t="n">
        <v>3</v>
      </c>
      <c r="J10" s="3" t="inlineStr">
        <is>
          <t>부가서비스</t>
        </is>
      </c>
      <c r="K10" s="3" t="n">
        <v>10000</v>
      </c>
      <c r="L10" s="3">
        <f>I10*K10</f>
        <v/>
      </c>
      <c r="M10" s="3" t="inlineStr">
        <is>
          <t>팀3</t>
        </is>
      </c>
      <c r="N10" s="3" t="inlineStr">
        <is>
          <t>담당7</t>
        </is>
      </c>
      <c r="O10" s="3" t="inlineStr">
        <is>
          <t>행 단위 정렬 검증용</t>
        </is>
      </c>
      <c r="P10" s="3" t="inlineStr">
        <is>
          <t>삭제값7</t>
        </is>
      </c>
      <c r="Q10" s="3" t="n"/>
      <c r="R10" s="3" t="inlineStr">
        <is>
          <t>하</t>
        </is>
      </c>
      <c r="S10" s="3" t="inlineStr">
        <is>
          <t>2026-04-07</t>
        </is>
      </c>
      <c r="T10" s="3" t="inlineStr">
        <is>
          <t>2026-01-05</t>
        </is>
      </c>
      <c r="U10" s="3" t="inlineStr">
        <is>
          <t>신규</t>
        </is>
      </c>
      <c r="V10" s="3" t="inlineStr">
        <is>
          <t>서울</t>
        </is>
      </c>
      <c r="W10" s="3" t="inlineStr">
        <is>
          <t>ROW-07</t>
        </is>
      </c>
      <c r="X10" s="3" t="n">
        <v>980000</v>
      </c>
    </row>
    <row r="11">
      <c r="A11" s="3" t="inlineStr">
        <is>
          <t>A삭제8</t>
        </is>
      </c>
      <c r="B11" s="3" t="inlineStr">
        <is>
          <t>B삭제8</t>
        </is>
      </c>
      <c r="C11" s="3" t="n">
        <v>123</v>
      </c>
      <c r="D11" s="3" t="inlineStr">
        <is>
          <t>미래통신</t>
        </is>
      </c>
      <c r="E11" s="3" t="inlineStr">
        <is>
          <t>B2B 음성</t>
        </is>
      </c>
      <c r="F11" s="3" t="inlineStr">
        <is>
          <t>정상</t>
        </is>
      </c>
      <c r="G11" s="3" t="n"/>
      <c r="H11" s="3" t="n">
        <v>4500</v>
      </c>
      <c r="I11" s="3" t="n">
        <v>4</v>
      </c>
      <c r="J11" s="3" t="inlineStr">
        <is>
          <t>기본료</t>
        </is>
      </c>
      <c r="K11" s="3" t="n">
        <v>12000</v>
      </c>
      <c r="L11" s="3">
        <f>I11*K11</f>
        <v/>
      </c>
      <c r="M11" s="3" t="inlineStr">
        <is>
          <t>팀4</t>
        </is>
      </c>
      <c r="N11" s="3" t="inlineStr">
        <is>
          <t>담당8</t>
        </is>
      </c>
      <c r="O11" s="3" t="inlineStr">
        <is>
          <t>행 단위 정렬 검증용</t>
        </is>
      </c>
      <c r="P11" s="3" t="inlineStr">
        <is>
          <t>삭제값8</t>
        </is>
      </c>
      <c r="Q11" s="3" t="n"/>
      <c r="R11" s="3" t="inlineStr">
        <is>
          <t>긴급</t>
        </is>
      </c>
      <c r="S11" s="3" t="inlineStr">
        <is>
          <t>2026-04-08</t>
        </is>
      </c>
      <c r="T11" s="3" t="inlineStr">
        <is>
          <t>2026-04-01</t>
        </is>
      </c>
      <c r="U11" s="3" t="inlineStr">
        <is>
          <t>유지</t>
        </is>
      </c>
      <c r="V11" s="3" t="inlineStr">
        <is>
          <t>부산</t>
        </is>
      </c>
      <c r="W11" s="3" t="inlineStr">
        <is>
          <t>ROW-08</t>
        </is>
      </c>
      <c r="X11" s="3" t="n">
        <v>210000</v>
      </c>
    </row>
    <row r="12">
      <c r="A12" s="3" t="inlineStr">
        <is>
          <t>A삭제9</t>
        </is>
      </c>
      <c r="B12" s="3" t="inlineStr">
        <is>
          <t>B삭제9</t>
        </is>
      </c>
      <c r="C12" s="3" t="n">
        <v>111</v>
      </c>
      <c r="D12" s="3" t="inlineStr">
        <is>
          <t>네오링크</t>
        </is>
      </c>
      <c r="E12" s="3" t="inlineStr">
        <is>
          <t>전용회선</t>
        </is>
      </c>
      <c r="F12" s="3" t="inlineStr">
        <is>
          <t>정상</t>
        </is>
      </c>
      <c r="G12" s="3" t="n"/>
      <c r="H12" s="3" t="n">
        <v>7000</v>
      </c>
      <c r="I12" s="3" t="n">
        <v>5</v>
      </c>
      <c r="J12" s="3" t="inlineStr">
        <is>
          <t>기본료</t>
        </is>
      </c>
      <c r="K12" s="3" t="n">
        <v>15000</v>
      </c>
      <c r="L12" s="3">
        <f>I12*K12</f>
        <v/>
      </c>
      <c r="M12" s="3" t="inlineStr">
        <is>
          <t>팀1</t>
        </is>
      </c>
      <c r="N12" s="3" t="inlineStr">
        <is>
          <t>담당9</t>
        </is>
      </c>
      <c r="O12" s="3" t="inlineStr">
        <is>
          <t>행 단위 정렬 검증용</t>
        </is>
      </c>
      <c r="P12" s="3" t="inlineStr">
        <is>
          <t>삭제값9</t>
        </is>
      </c>
      <c r="Q12" s="3" t="n"/>
      <c r="R12" s="3" t="inlineStr">
        <is>
          <t>상</t>
        </is>
      </c>
      <c r="S12" s="3" t="inlineStr">
        <is>
          <t>2026-04-09</t>
        </is>
      </c>
      <c r="T12" s="3" t="inlineStr">
        <is>
          <t>2026-03-25</t>
        </is>
      </c>
      <c r="U12" s="3" t="inlineStr">
        <is>
          <t>신규</t>
        </is>
      </c>
      <c r="V12" s="3" t="inlineStr">
        <is>
          <t>대전</t>
        </is>
      </c>
      <c r="W12" s="3" t="inlineStr">
        <is>
          <t>ROW-09</t>
        </is>
      </c>
      <c r="X12" s="3" t="n">
        <v>660000</v>
      </c>
    </row>
    <row r="13">
      <c r="A13" s="3" t="inlineStr">
        <is>
          <t>A삭제10</t>
        </is>
      </c>
      <c r="B13" s="3" t="inlineStr">
        <is>
          <t>B삭제10</t>
        </is>
      </c>
      <c r="C13" s="3" t="n">
        <v>222</v>
      </c>
      <c r="D13" s="3" t="inlineStr">
        <is>
          <t>테크커넥트</t>
        </is>
      </c>
      <c r="E13" s="3" t="inlineStr">
        <is>
          <t>IoT</t>
        </is>
      </c>
      <c r="F13" s="3" t="inlineStr">
        <is>
          <t>검토</t>
        </is>
      </c>
      <c r="G13" s="3" t="n"/>
      <c r="H13" s="3" t="n">
        <v>8200</v>
      </c>
      <c r="I13" s="3" t="n">
        <v>6</v>
      </c>
      <c r="J13" s="3" t="inlineStr">
        <is>
          <t>전국대표 포함한 기본료</t>
        </is>
      </c>
      <c r="K13" s="3" t="n">
        <v>9000</v>
      </c>
      <c r="L13" s="3">
        <f>I13*K13</f>
        <v/>
      </c>
      <c r="M13" s="3" t="inlineStr">
        <is>
          <t>팀2</t>
        </is>
      </c>
      <c r="N13" s="3" t="inlineStr">
        <is>
          <t>담당10</t>
        </is>
      </c>
      <c r="O13" s="3" t="inlineStr">
        <is>
          <t>행 단위 정렬 검증용</t>
        </is>
      </c>
      <c r="P13" s="3" t="inlineStr">
        <is>
          <t>삭제값10</t>
        </is>
      </c>
      <c r="Q13" s="3" t="n"/>
      <c r="R13" s="3" t="inlineStr">
        <is>
          <t>중</t>
        </is>
      </c>
      <c r="S13" s="3" t="inlineStr">
        <is>
          <t>2026-04-10</t>
        </is>
      </c>
      <c r="T13" s="3" t="inlineStr">
        <is>
          <t>2026-02-28</t>
        </is>
      </c>
      <c r="U13" s="3" t="inlineStr">
        <is>
          <t>유지</t>
        </is>
      </c>
      <c r="V13" s="3" t="inlineStr">
        <is>
          <t>서울</t>
        </is>
      </c>
      <c r="W13" s="3" t="inlineStr">
        <is>
          <t>ROW-10</t>
        </is>
      </c>
      <c r="X13" s="3" t="n">
        <v>530000</v>
      </c>
    </row>
    <row r="14">
      <c r="A14" s="3" t="inlineStr">
        <is>
          <t>A삭제11</t>
        </is>
      </c>
      <c r="B14" s="3" t="inlineStr">
        <is>
          <t>B삭제11</t>
        </is>
      </c>
      <c r="C14" s="3" t="n">
        <v>123</v>
      </c>
      <c r="D14" s="3" t="inlineStr">
        <is>
          <t>오리진네트</t>
        </is>
      </c>
      <c r="E14" s="3" t="inlineStr">
        <is>
          <t>기업메시지</t>
        </is>
      </c>
      <c r="F14" s="3" t="inlineStr">
        <is>
          <t>정상</t>
        </is>
      </c>
      <c r="G14" s="3" t="n"/>
      <c r="H14" s="3" t="n">
        <v>8200</v>
      </c>
      <c r="I14" s="3" t="n">
        <v>2</v>
      </c>
      <c r="J14" s="3" t="inlineStr">
        <is>
          <t>080포함한 기본료</t>
        </is>
      </c>
      <c r="K14" s="3" t="n">
        <v>8000</v>
      </c>
      <c r="L14" s="3">
        <f>I14*K14</f>
        <v/>
      </c>
      <c r="M14" s="3" t="inlineStr">
        <is>
          <t>팀3</t>
        </is>
      </c>
      <c r="N14" s="3" t="inlineStr">
        <is>
          <t>담당11</t>
        </is>
      </c>
      <c r="O14" s="3" t="inlineStr">
        <is>
          <t>행 단위 정렬 검증용</t>
        </is>
      </c>
      <c r="P14" s="3" t="inlineStr">
        <is>
          <t>삭제값11</t>
        </is>
      </c>
      <c r="Q14" s="3" t="n"/>
      <c r="R14" s="3" t="inlineStr">
        <is>
          <t>하</t>
        </is>
      </c>
      <c r="S14" s="3" t="inlineStr">
        <is>
          <t>2026-04-11</t>
        </is>
      </c>
      <c r="T14" s="3" t="inlineStr">
        <is>
          <t>2026-05-01</t>
        </is>
      </c>
      <c r="U14" s="3" t="inlineStr">
        <is>
          <t>신규</t>
        </is>
      </c>
      <c r="V14" s="3" t="inlineStr">
        <is>
          <t>부산</t>
        </is>
      </c>
      <c r="W14" s="3" t="inlineStr">
        <is>
          <t>ROW-11</t>
        </is>
      </c>
      <c r="X14" s="3" t="n">
        <v>150000</v>
      </c>
    </row>
    <row r="15">
      <c r="A15" s="3" t="inlineStr">
        <is>
          <t>A삭제12</t>
        </is>
      </c>
      <c r="B15" s="3" t="inlineStr">
        <is>
          <t>B삭제12</t>
        </is>
      </c>
      <c r="C15" s="3" t="n">
        <v>789</v>
      </c>
      <c r="D15" s="3" t="inlineStr">
        <is>
          <t>라이브셀</t>
        </is>
      </c>
      <c r="E15" s="3" t="inlineStr">
        <is>
          <t>관제서비스</t>
        </is>
      </c>
      <c r="F15" s="3" t="inlineStr">
        <is>
          <t>정상</t>
        </is>
      </c>
      <c r="G15" s="3" t="n"/>
      <c r="H15" s="3" t="n">
        <v>9100</v>
      </c>
      <c r="I15" s="3" t="n">
        <v>3</v>
      </c>
      <c r="J15" s="3" t="inlineStr">
        <is>
          <t>월구전화 기본료</t>
        </is>
      </c>
      <c r="K15" s="3" t="n">
        <v>7000</v>
      </c>
      <c r="L15" s="3">
        <f>I15*K15</f>
        <v/>
      </c>
      <c r="M15" s="3" t="inlineStr">
        <is>
          <t>팀4</t>
        </is>
      </c>
      <c r="N15" s="3" t="inlineStr">
        <is>
          <t>담당12</t>
        </is>
      </c>
      <c r="O15" s="3" t="inlineStr">
        <is>
          <t>행 단위 정렬 검증용</t>
        </is>
      </c>
      <c r="P15" s="3" t="inlineStr">
        <is>
          <t>삭제값12</t>
        </is>
      </c>
      <c r="Q15" s="3" t="n"/>
      <c r="R15" s="3" t="inlineStr">
        <is>
          <t>긴급</t>
        </is>
      </c>
      <c r="S15" s="3" t="inlineStr">
        <is>
          <t>2026-04-12</t>
        </is>
      </c>
      <c r="T15" s="3" t="inlineStr">
        <is>
          <t>2026-06-15</t>
        </is>
      </c>
      <c r="U15" s="3" t="inlineStr">
        <is>
          <t>유지</t>
        </is>
      </c>
      <c r="V15" s="3" t="inlineStr">
        <is>
          <t>대전</t>
        </is>
      </c>
      <c r="W15" s="3" t="inlineStr">
        <is>
          <t>ROW-12</t>
        </is>
      </c>
      <c r="X15" s="3" t="n">
        <v>880000</v>
      </c>
    </row>
  </sheetData>
  <mergeCells count="1">
    <mergeCell ref="A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4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5" customWidth="1" min="9" max="9"/>
    <col width="8" customWidth="1" min="10" max="10"/>
    <col width="15" customWidth="1" min="11" max="11"/>
  </cols>
  <sheetData>
    <row r="1">
      <c r="A1" s="5">
        <f>B1+C1</f>
        <v/>
      </c>
      <c r="B1" s="3" t="n">
        <v>100</v>
      </c>
      <c r="C1" s="3" t="n">
        <v>7</v>
      </c>
      <c r="D1" s="3" t="n"/>
      <c r="E1" s="3" t="n"/>
      <c r="F1" s="3" t="n"/>
    </row>
    <row r="2">
      <c r="A2" s="3">
        <f>B2+C2</f>
        <v/>
      </c>
      <c r="B2" s="3" t="n">
        <v>200</v>
      </c>
      <c r="C2" s="3" t="n">
        <v>14</v>
      </c>
      <c r="D2" s="3" t="n"/>
      <c r="E2" s="3" t="n"/>
      <c r="F2" s="3" t="n"/>
    </row>
    <row r="3">
      <c r="A3" s="3">
        <f>B3+C3</f>
        <v/>
      </c>
      <c r="B3" s="3" t="n">
        <v>300</v>
      </c>
      <c r="C3" s="3" t="n">
        <v>21</v>
      </c>
      <c r="D3" s="3" t="n"/>
      <c r="E3" s="3" t="n"/>
      <c r="F3" s="3" t="n"/>
    </row>
    <row r="4">
      <c r="A4" s="3">
        <f>B4+C4</f>
        <v/>
      </c>
      <c r="B4" s="3" t="n">
        <v>400</v>
      </c>
      <c r="C4" s="3" t="n">
        <v>28</v>
      </c>
      <c r="D4" s="3" t="n"/>
      <c r="E4" s="3" t="n"/>
      <c r="F4" s="3" t="n"/>
    </row>
    <row r="5">
      <c r="A5" s="3">
        <f>B5+C5</f>
        <v/>
      </c>
      <c r="B5" s="3" t="n">
        <v>500</v>
      </c>
      <c r="C5" s="3" t="n">
        <v>35</v>
      </c>
      <c r="D5" s="3" t="n"/>
      <c r="E5" s="3" t="n"/>
      <c r="F5" s="3" t="n"/>
    </row>
    <row r="6"/>
    <row r="7"/>
    <row r="8">
      <c r="A8" s="1" t="inlineStr">
        <is>
          <t>■ I:K 수식 표</t>
        </is>
      </c>
    </row>
    <row r="9"/>
    <row r="10">
      <c r="I10" s="2" t="inlineStr">
        <is>
          <t>기준값</t>
        </is>
      </c>
      <c r="J10" s="2" t="inlineStr">
        <is>
          <t>두배수식</t>
        </is>
      </c>
      <c r="K10" s="2" t="inlineStr">
        <is>
          <t>합계수식</t>
        </is>
      </c>
    </row>
    <row r="11">
      <c r="I11" s="3" t="n">
        <v>10</v>
      </c>
      <c r="J11" s="3">
        <f>I11*2</f>
        <v/>
      </c>
      <c r="K11" s="3">
        <f>SUM(I11:J11)</f>
        <v/>
      </c>
    </row>
    <row r="12">
      <c r="I12" s="3" t="n">
        <v>11</v>
      </c>
      <c r="J12" s="3">
        <f>I12*2</f>
        <v/>
      </c>
      <c r="K12" s="3">
        <f>SUM(I12:J12)</f>
        <v/>
      </c>
    </row>
    <row r="13">
      <c r="I13" s="3" t="n">
        <v>12</v>
      </c>
      <c r="J13" s="3">
        <f>I13*2</f>
        <v/>
      </c>
      <c r="K13" s="3">
        <f>SUM(I13:J13)</f>
        <v/>
      </c>
    </row>
    <row r="14">
      <c r="I14" s="3" t="n">
        <v>13</v>
      </c>
      <c r="J14" s="3">
        <f>I14*2</f>
        <v/>
      </c>
      <c r="K14" s="3">
        <f>SUM(I14:J14)</f>
        <v/>
      </c>
    </row>
    <row r="15">
      <c r="I15" s="3" t="n">
        <v>14</v>
      </c>
      <c r="J15" s="3">
        <f>I15*2</f>
        <v/>
      </c>
      <c r="K15" s="3">
        <f>SUM(I15:J15)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8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5" customWidth="1" min="9" max="9"/>
    <col width="6" customWidth="1" min="10" max="10"/>
    <col width="6" customWidth="1" min="11" max="11"/>
  </cols>
  <sheetData>
    <row r="1">
      <c r="A1" s="1" t="inlineStr">
        <is>
          <t>■ 수식/서식 복사 대상 시트</t>
        </is>
      </c>
    </row>
    <row r="2"/>
    <row r="3"/>
    <row r="4"/>
    <row r="5"/>
    <row r="6"/>
    <row r="7"/>
    <row r="8"/>
    <row r="9"/>
    <row r="10">
      <c r="I10" s="2" t="inlineStr">
        <is>
          <t>기준값</t>
        </is>
      </c>
      <c r="J10" s="2" t="inlineStr">
        <is>
          <t>두배수식</t>
        </is>
      </c>
      <c r="K10" s="2" t="inlineStr">
        <is>
          <t>합계수식</t>
        </is>
      </c>
    </row>
    <row r="11">
      <c r="I11" s="3" t="n"/>
      <c r="J11" s="3" t="n"/>
      <c r="K11" s="3" t="n"/>
    </row>
    <row r="12">
      <c r="I12" s="3" t="n"/>
      <c r="J12" s="3" t="n"/>
      <c r="K12" s="3" t="n"/>
    </row>
    <row r="13">
      <c r="I13" s="3" t="n"/>
      <c r="J13" s="3" t="n"/>
      <c r="K13" s="3" t="n"/>
    </row>
    <row r="14">
      <c r="I14" s="3" t="n"/>
      <c r="J14" s="3" t="n"/>
      <c r="K14" s="3" t="n"/>
    </row>
    <row r="15">
      <c r="I15" s="3" t="n"/>
      <c r="J15" s="3" t="n"/>
      <c r="K1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7" customWidth="1" min="3" max="3"/>
    <col width="7" customWidth="1" min="4" max="4"/>
    <col width="8" customWidth="1" min="5" max="5"/>
    <col width="9" customWidth="1" min="6" max="6"/>
    <col width="2" customWidth="1" min="7" max="7"/>
    <col width="16" customWidth="1" min="8" max="8"/>
  </cols>
  <sheetData>
    <row r="1">
      <c r="A1" s="5" t="inlineStr">
        <is>
          <t>■ 2026년 4월 병합 셀 복사 원본</t>
        </is>
      </c>
      <c r="B1" s="3" t="n"/>
      <c r="C1" s="3" t="n"/>
      <c r="D1" s="3" t="n"/>
      <c r="E1" s="3" t="n"/>
      <c r="F1" s="3" t="n"/>
      <c r="H1" s="1" t="inlineStr">
        <is>
          <t>복붙 대상 영역 H1:M7</t>
        </is>
      </c>
    </row>
    <row r="2">
      <c r="A2" s="6" t="inlineStr">
        <is>
          <t>청구 그룹</t>
        </is>
      </c>
      <c r="B2" s="6" t="n"/>
      <c r="C2" s="6" t="inlineStr">
        <is>
          <t>금액 그룹</t>
        </is>
      </c>
      <c r="D2" s="6" t="n"/>
      <c r="E2" s="6" t="n"/>
      <c r="F2" s="6" t="n"/>
    </row>
    <row r="3">
      <c r="A3" s="2" t="inlineStr">
        <is>
          <t>회사명</t>
        </is>
      </c>
      <c r="B3" s="2" t="inlineStr">
        <is>
          <t>항목</t>
        </is>
      </c>
      <c r="C3" s="2" t="inlineStr">
        <is>
          <t>수량</t>
        </is>
      </c>
      <c r="D3" s="2" t="inlineStr">
        <is>
          <t>단가</t>
        </is>
      </c>
      <c r="E3" s="2" t="inlineStr">
        <is>
          <t>공급가</t>
        </is>
      </c>
      <c r="F3" s="2" t="inlineStr">
        <is>
          <t>합계수식</t>
        </is>
      </c>
    </row>
    <row r="4">
      <c r="A4" s="3" t="inlineStr">
        <is>
          <t>ABC통신</t>
        </is>
      </c>
      <c r="B4" s="3" t="inlineStr">
        <is>
          <t>기본료</t>
        </is>
      </c>
      <c r="C4" s="3" t="n">
        <v>2</v>
      </c>
      <c r="D4" s="3" t="n">
        <v>10000</v>
      </c>
      <c r="E4" s="3">
        <f>C4*D4</f>
        <v/>
      </c>
      <c r="F4" s="3">
        <f>E4*1.1</f>
        <v/>
      </c>
    </row>
    <row r="5">
      <c r="A5" s="3" t="inlineStr">
        <is>
          <t>글로벌네트워크</t>
        </is>
      </c>
      <c r="B5" s="3" t="inlineStr">
        <is>
          <t>전국대표 포함한 기본료</t>
        </is>
      </c>
      <c r="C5" s="3" t="n">
        <v>3</v>
      </c>
      <c r="D5" s="3" t="n">
        <v>12000</v>
      </c>
      <c r="E5" s="3">
        <f>C5*D5</f>
        <v/>
      </c>
      <c r="F5" s="3">
        <f>E5*1.1</f>
        <v/>
      </c>
    </row>
    <row r="6">
      <c r="A6" s="3" t="inlineStr">
        <is>
          <t>스마트링크</t>
        </is>
      </c>
      <c r="B6" s="3" t="inlineStr">
        <is>
          <t>080포함한 기본료</t>
        </is>
      </c>
      <c r="C6" s="3" t="n">
        <v>4</v>
      </c>
      <c r="D6" s="3" t="n">
        <v>15000</v>
      </c>
      <c r="E6" s="3">
        <f>C6*D6</f>
        <v/>
      </c>
      <c r="F6" s="3">
        <f>E6*1.1</f>
        <v/>
      </c>
    </row>
    <row r="7">
      <c r="A7" s="3" t="inlineStr">
        <is>
          <t>코리아텔레콤</t>
        </is>
      </c>
      <c r="B7" s="3" t="inlineStr">
        <is>
          <t>부가서비스</t>
        </is>
      </c>
      <c r="C7" s="3" t="n">
        <v>5</v>
      </c>
      <c r="D7" s="3" t="n">
        <v>8000</v>
      </c>
      <c r="E7" s="3">
        <f>C7*D7</f>
        <v/>
      </c>
      <c r="F7" s="3">
        <f>E7*1.1</f>
        <v/>
      </c>
    </row>
  </sheetData>
  <mergeCells count="3">
    <mergeCell ref="C2:F2"/>
    <mergeCell ref="A2:B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9" customWidth="1" min="10" max="10"/>
  </cols>
  <sheetData>
    <row r="1">
      <c r="A1" s="1" t="inlineStr">
        <is>
          <t>■ 삽입/삭제 테스트 시트</t>
        </is>
      </c>
    </row>
    <row r="2"/>
    <row r="3">
      <c r="A3" s="2" t="inlineStr">
        <is>
          <t>A값</t>
        </is>
      </c>
      <c r="B3" s="2" t="inlineStr">
        <is>
          <t>B값</t>
        </is>
      </c>
      <c r="C3" s="2" t="inlineStr">
        <is>
          <t>C값</t>
        </is>
      </c>
      <c r="D3" s="2" t="inlineStr">
        <is>
          <t>D값</t>
        </is>
      </c>
      <c r="E3" s="2" t="inlineStr">
        <is>
          <t>E값</t>
        </is>
      </c>
      <c r="F3" s="2" t="inlineStr">
        <is>
          <t>F값</t>
        </is>
      </c>
      <c r="G3" s="2" t="inlineStr">
        <is>
          <t>G값</t>
        </is>
      </c>
      <c r="H3" s="2" t="inlineStr">
        <is>
          <t>H값</t>
        </is>
      </c>
      <c r="I3" s="2" t="inlineStr">
        <is>
          <t>I값</t>
        </is>
      </c>
      <c r="J3" s="2" t="inlineStr">
        <is>
          <t>J열_삽입기준</t>
        </is>
      </c>
    </row>
    <row r="4">
      <c r="A4" s="3" t="inlineStr">
        <is>
          <t>A1</t>
        </is>
      </c>
      <c r="B4" s="3" t="inlineStr">
        <is>
          <t>B1</t>
        </is>
      </c>
      <c r="C4" s="3" t="inlineStr">
        <is>
          <t>C1</t>
        </is>
      </c>
      <c r="D4" s="3" t="inlineStr">
        <is>
          <t>D1</t>
        </is>
      </c>
      <c r="E4" s="3" t="inlineStr">
        <is>
          <t>E1</t>
        </is>
      </c>
      <c r="F4" s="3" t="inlineStr">
        <is>
          <t>F1</t>
        </is>
      </c>
      <c r="G4" s="3" t="inlineStr">
        <is>
          <t>G1</t>
        </is>
      </c>
      <c r="H4" s="3" t="inlineStr">
        <is>
          <t>H1</t>
        </is>
      </c>
      <c r="I4" s="3" t="inlineStr">
        <is>
          <t>I1</t>
        </is>
      </c>
      <c r="J4" s="3" t="inlineStr">
        <is>
          <t>J1</t>
        </is>
      </c>
    </row>
    <row r="5">
      <c r="A5" s="3" t="inlineStr">
        <is>
          <t>A2</t>
        </is>
      </c>
      <c r="B5" s="3" t="inlineStr">
        <is>
          <t>B2</t>
        </is>
      </c>
      <c r="C5" s="3" t="inlineStr">
        <is>
          <t>C2</t>
        </is>
      </c>
      <c r="D5" s="3" t="inlineStr">
        <is>
          <t>D2</t>
        </is>
      </c>
      <c r="E5" s="3" t="inlineStr">
        <is>
          <t>E2</t>
        </is>
      </c>
      <c r="F5" s="3" t="inlineStr">
        <is>
          <t>F2</t>
        </is>
      </c>
      <c r="G5" s="3" t="inlineStr">
        <is>
          <t>G2</t>
        </is>
      </c>
      <c r="H5" s="3" t="inlineStr">
        <is>
          <t>H2</t>
        </is>
      </c>
      <c r="I5" s="3" t="inlineStr">
        <is>
          <t>I2</t>
        </is>
      </c>
      <c r="J5" s="3" t="inlineStr">
        <is>
          <t>J2</t>
        </is>
      </c>
    </row>
    <row r="6">
      <c r="A6" s="3" t="inlineStr">
        <is>
          <t>A3</t>
        </is>
      </c>
      <c r="B6" s="3" t="inlineStr">
        <is>
          <t>B3</t>
        </is>
      </c>
      <c r="C6" s="3" t="inlineStr">
        <is>
          <t>C3</t>
        </is>
      </c>
      <c r="D6" s="3" t="inlineStr">
        <is>
          <t>D3</t>
        </is>
      </c>
      <c r="E6" s="3" t="inlineStr">
        <is>
          <t>E3</t>
        </is>
      </c>
      <c r="F6" s="3" t="inlineStr">
        <is>
          <t>F3</t>
        </is>
      </c>
      <c r="G6" s="3" t="inlineStr">
        <is>
          <t>G3</t>
        </is>
      </c>
      <c r="H6" s="3" t="inlineStr">
        <is>
          <t>H3</t>
        </is>
      </c>
      <c r="I6" s="3" t="inlineStr">
        <is>
          <t>I3</t>
        </is>
      </c>
      <c r="J6" s="3" t="inlineStr">
        <is>
          <t>J3</t>
        </is>
      </c>
    </row>
    <row r="7">
      <c r="A7" s="3" t="inlineStr">
        <is>
          <t>A4</t>
        </is>
      </c>
      <c r="B7" s="3" t="inlineStr">
        <is>
          <t>B4</t>
        </is>
      </c>
      <c r="C7" s="3" t="inlineStr">
        <is>
          <t>C4</t>
        </is>
      </c>
      <c r="D7" s="3" t="inlineStr">
        <is>
          <t>D4</t>
        </is>
      </c>
      <c r="E7" s="3" t="inlineStr">
        <is>
          <t>E4</t>
        </is>
      </c>
      <c r="F7" s="3" t="inlineStr">
        <is>
          <t>F4</t>
        </is>
      </c>
      <c r="G7" s="3" t="inlineStr">
        <is>
          <t>G4</t>
        </is>
      </c>
      <c r="H7" s="3" t="inlineStr">
        <is>
          <t>H4</t>
        </is>
      </c>
      <c r="I7" s="3" t="inlineStr">
        <is>
          <t>I4</t>
        </is>
      </c>
      <c r="J7" s="3" t="inlineStr">
        <is>
          <t>J4</t>
        </is>
      </c>
    </row>
    <row r="8">
      <c r="A8" s="3" t="inlineStr">
        <is>
          <t>A5</t>
        </is>
      </c>
      <c r="B8" s="3" t="inlineStr">
        <is>
          <t>B5</t>
        </is>
      </c>
      <c r="C8" s="3" t="inlineStr">
        <is>
          <t>C5</t>
        </is>
      </c>
      <c r="D8" s="3" t="inlineStr">
        <is>
          <t>D5</t>
        </is>
      </c>
      <c r="E8" s="3" t="inlineStr">
        <is>
          <t>E5</t>
        </is>
      </c>
      <c r="F8" s="3" t="inlineStr">
        <is>
          <t>F5</t>
        </is>
      </c>
      <c r="G8" s="3" t="inlineStr">
        <is>
          <t>G5</t>
        </is>
      </c>
      <c r="H8" s="3" t="inlineStr">
        <is>
          <t>H5</t>
        </is>
      </c>
      <c r="I8" s="3" t="inlineStr">
        <is>
          <t>I5</t>
        </is>
      </c>
      <c r="J8" s="3" t="inlineStr">
        <is>
          <t>J5</t>
        </is>
      </c>
    </row>
    <row r="9">
      <c r="A9" s="3" t="inlineStr">
        <is>
          <t>A6</t>
        </is>
      </c>
      <c r="B9" s="3" t="inlineStr">
        <is>
          <t>B6</t>
        </is>
      </c>
      <c r="C9" s="3" t="inlineStr">
        <is>
          <t>C6</t>
        </is>
      </c>
      <c r="D9" s="3" t="inlineStr">
        <is>
          <t>D6</t>
        </is>
      </c>
      <c r="E9" s="3" t="inlineStr">
        <is>
          <t>E6</t>
        </is>
      </c>
      <c r="F9" s="3" t="inlineStr">
        <is>
          <t>F6</t>
        </is>
      </c>
      <c r="G9" s="3" t="inlineStr">
        <is>
          <t>G6</t>
        </is>
      </c>
      <c r="H9" s="3" t="inlineStr">
        <is>
          <t>H6</t>
        </is>
      </c>
      <c r="I9" s="3" t="inlineStr">
        <is>
          <t>I6</t>
        </is>
      </c>
      <c r="J9" s="3" t="inlineStr">
        <is>
          <t>J6</t>
        </is>
      </c>
    </row>
    <row r="10">
      <c r="A10" s="3" t="inlineStr">
        <is>
          <t>A7</t>
        </is>
      </c>
      <c r="B10" s="3" t="inlineStr">
        <is>
          <t>B7</t>
        </is>
      </c>
      <c r="C10" s="3" t="inlineStr">
        <is>
          <t>C7</t>
        </is>
      </c>
      <c r="D10" s="3" t="inlineStr">
        <is>
          <t>D7</t>
        </is>
      </c>
      <c r="E10" s="3" t="inlineStr">
        <is>
          <t>E7</t>
        </is>
      </c>
      <c r="F10" s="3" t="inlineStr">
        <is>
          <t>F7</t>
        </is>
      </c>
      <c r="G10" s="3" t="inlineStr">
        <is>
          <t>G7</t>
        </is>
      </c>
      <c r="H10" s="3" t="inlineStr">
        <is>
          <t>H7</t>
        </is>
      </c>
      <c r="I10" s="3" t="inlineStr">
        <is>
          <t>I7</t>
        </is>
      </c>
      <c r="J10" s="3" t="inlineStr">
        <is>
          <t>J7</t>
        </is>
      </c>
    </row>
    <row r="11">
      <c r="A11" s="3" t="inlineStr">
        <is>
          <t>A8</t>
        </is>
      </c>
      <c r="B11" s="3" t="inlineStr">
        <is>
          <t>B8</t>
        </is>
      </c>
      <c r="C11" s="3" t="inlineStr">
        <is>
          <t>C8</t>
        </is>
      </c>
      <c r="D11" s="3" t="inlineStr">
        <is>
          <t>D8</t>
        </is>
      </c>
      <c r="E11" s="3" t="inlineStr">
        <is>
          <t>E8</t>
        </is>
      </c>
      <c r="F11" s="3" t="inlineStr">
        <is>
          <t>F8</t>
        </is>
      </c>
      <c r="G11" s="3" t="inlineStr">
        <is>
          <t>G8</t>
        </is>
      </c>
      <c r="H11" s="3" t="inlineStr">
        <is>
          <t>H8</t>
        </is>
      </c>
      <c r="I11" s="3" t="inlineStr">
        <is>
          <t>I8</t>
        </is>
      </c>
      <c r="J11" s="3" t="inlineStr">
        <is>
          <t>J8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4" customWidth="1" min="3" max="3"/>
    <col width="5" customWidth="1" min="4" max="4"/>
    <col width="5" customWidth="1" min="5" max="5"/>
    <col width="5" customWidth="1" min="6" max="6"/>
    <col width="6" customWidth="1" min="7" max="7"/>
    <col width="6" customWidth="1" min="8" max="8"/>
  </cols>
  <sheetData>
    <row r="1">
      <c r="A1" s="1" t="inlineStr">
        <is>
          <t>■ H열 금액 중복 개수를 G열에 채우는 테스트</t>
        </is>
      </c>
    </row>
    <row r="2"/>
    <row r="3">
      <c r="A3" s="2" t="inlineStr">
        <is>
          <t>ID</t>
        </is>
      </c>
      <c r="B3" s="2" t="inlineStr">
        <is>
          <t>회사명</t>
        </is>
      </c>
      <c r="C3" s="2" t="inlineStr">
        <is>
          <t>비고</t>
        </is>
      </c>
      <c r="D3" s="2" t="inlineStr">
        <is>
          <t>기대값</t>
        </is>
      </c>
      <c r="E3" s="2" t="inlineStr">
        <is>
          <t>공백1</t>
        </is>
      </c>
      <c r="F3" s="2" t="inlineStr">
        <is>
          <t>공백2</t>
        </is>
      </c>
      <c r="G3" s="2" t="inlineStr">
        <is>
          <t>중복개수</t>
        </is>
      </c>
      <c r="H3" s="2" t="inlineStr">
        <is>
          <t>금액</t>
        </is>
      </c>
    </row>
    <row r="4">
      <c r="A4" s="3" t="inlineStr">
        <is>
          <t>DUP-01</t>
        </is>
      </c>
      <c r="B4" s="3" t="inlineStr">
        <is>
          <t>ABC통신</t>
        </is>
      </c>
      <c r="C4" s="3" t="n"/>
      <c r="D4" s="3" t="n">
        <v>3</v>
      </c>
      <c r="E4" s="3" t="n"/>
      <c r="F4" s="3" t="n"/>
      <c r="G4" s="3" t="n"/>
      <c r="H4" s="3" t="n">
        <v>1000</v>
      </c>
    </row>
    <row r="5">
      <c r="A5" s="3" t="inlineStr">
        <is>
          <t>DUP-02</t>
        </is>
      </c>
      <c r="B5" s="3" t="inlineStr">
        <is>
          <t>글로벌네트워크</t>
        </is>
      </c>
      <c r="C5" s="3" t="n"/>
      <c r="D5" s="3" t="n">
        <v>3</v>
      </c>
      <c r="E5" s="3" t="n"/>
      <c r="F5" s="3" t="n"/>
      <c r="G5" s="3" t="n"/>
      <c r="H5" s="3" t="n">
        <v>1000</v>
      </c>
    </row>
    <row r="6">
      <c r="A6" s="3" t="inlineStr">
        <is>
          <t>DUP-03</t>
        </is>
      </c>
      <c r="B6" s="3" t="inlineStr">
        <is>
          <t>스마트링크</t>
        </is>
      </c>
      <c r="C6" s="3" t="n"/>
      <c r="D6" s="3" t="n">
        <v>3</v>
      </c>
      <c r="E6" s="3" t="n"/>
      <c r="F6" s="3" t="n"/>
      <c r="G6" s="3" t="n"/>
      <c r="H6" s="3" t="n">
        <v>1000</v>
      </c>
    </row>
    <row r="7">
      <c r="A7" s="3" t="inlineStr">
        <is>
          <t>DUP-04</t>
        </is>
      </c>
      <c r="B7" s="3" t="inlineStr">
        <is>
          <t>코리아텔레콤</t>
        </is>
      </c>
      <c r="C7" s="3" t="n"/>
      <c r="D7" s="3" t="n">
        <v>2</v>
      </c>
      <c r="E7" s="3" t="n"/>
      <c r="F7" s="3" t="n"/>
      <c r="G7" s="3" t="n"/>
      <c r="H7" s="3" t="n">
        <v>2000</v>
      </c>
    </row>
    <row r="8">
      <c r="A8" s="3" t="inlineStr">
        <is>
          <t>DUP-05</t>
        </is>
      </c>
      <c r="B8" s="3" t="inlineStr">
        <is>
          <t>디지털파트너스</t>
        </is>
      </c>
      <c r="C8" s="3" t="n"/>
      <c r="D8" s="3" t="n">
        <v>2</v>
      </c>
      <c r="E8" s="3" t="n"/>
      <c r="F8" s="3" t="n"/>
      <c r="G8" s="3" t="n"/>
      <c r="H8" s="3" t="n">
        <v>2000</v>
      </c>
    </row>
    <row r="9">
      <c r="A9" s="3" t="inlineStr">
        <is>
          <t>DUP-06</t>
        </is>
      </c>
      <c r="B9" s="3" t="inlineStr">
        <is>
          <t>프라임모바일</t>
        </is>
      </c>
      <c r="C9" s="3" t="n"/>
      <c r="D9" s="3" t="n">
        <v>1</v>
      </c>
      <c r="E9" s="3" t="n"/>
      <c r="F9" s="3" t="n"/>
      <c r="G9" s="3" t="n"/>
      <c r="H9" s="3" t="n">
        <v>3000</v>
      </c>
    </row>
    <row r="10">
      <c r="A10" s="3" t="inlineStr">
        <is>
          <t>DUP-07</t>
        </is>
      </c>
      <c r="B10" s="3" t="inlineStr">
        <is>
          <t>위즈컴</t>
        </is>
      </c>
      <c r="C10" s="3" t="n"/>
      <c r="D10" s="3" t="n">
        <v>2</v>
      </c>
      <c r="E10" s="3" t="n"/>
      <c r="F10" s="3" t="n"/>
      <c r="G10" s="3" t="n"/>
      <c r="H10" s="3" t="n">
        <v>4000</v>
      </c>
    </row>
    <row r="11">
      <c r="A11" s="3" t="inlineStr">
        <is>
          <t>DUP-08</t>
        </is>
      </c>
      <c r="B11" s="3" t="inlineStr">
        <is>
          <t>미래통신</t>
        </is>
      </c>
      <c r="C11" s="3" t="n"/>
      <c r="D11" s="3" t="n">
        <v>2</v>
      </c>
      <c r="E11" s="3" t="n"/>
      <c r="F11" s="3" t="n"/>
      <c r="G11" s="3" t="n"/>
      <c r="H11" s="3" t="n">
        <v>4000</v>
      </c>
    </row>
    <row r="12">
      <c r="A12" s="3" t="inlineStr">
        <is>
          <t>DUP-09</t>
        </is>
      </c>
      <c r="B12" s="3" t="inlineStr">
        <is>
          <t>네오링크</t>
        </is>
      </c>
      <c r="C12" s="3" t="n"/>
      <c r="D12" s="3" t="n">
        <v>4</v>
      </c>
      <c r="E12" s="3" t="n"/>
      <c r="F12" s="3" t="n"/>
      <c r="G12" s="3" t="n"/>
      <c r="H12" s="3" t="n">
        <v>5000</v>
      </c>
    </row>
    <row r="13">
      <c r="A13" s="3" t="inlineStr">
        <is>
          <t>DUP-10</t>
        </is>
      </c>
      <c r="B13" s="3" t="inlineStr">
        <is>
          <t>테크커넥트</t>
        </is>
      </c>
      <c r="C13" s="3" t="n"/>
      <c r="D13" s="3" t="n">
        <v>4</v>
      </c>
      <c r="E13" s="3" t="n"/>
      <c r="F13" s="3" t="n"/>
      <c r="G13" s="3" t="n"/>
      <c r="H13" s="3" t="n">
        <v>5000</v>
      </c>
    </row>
    <row r="14">
      <c r="A14" s="3" t="inlineStr">
        <is>
          <t>DUP-11</t>
        </is>
      </c>
      <c r="B14" s="3" t="inlineStr">
        <is>
          <t>오리진네트</t>
        </is>
      </c>
      <c r="C14" s="3" t="n"/>
      <c r="D14" s="3" t="n">
        <v>4</v>
      </c>
      <c r="E14" s="3" t="n"/>
      <c r="F14" s="3" t="n"/>
      <c r="G14" s="3" t="n"/>
      <c r="H14" s="3" t="n">
        <v>5000</v>
      </c>
    </row>
    <row r="15">
      <c r="A15" s="3" t="inlineStr">
        <is>
          <t>DUP-12</t>
        </is>
      </c>
      <c r="B15" s="3" t="inlineStr">
        <is>
          <t>라이브셀</t>
        </is>
      </c>
      <c r="C15" s="3" t="n"/>
      <c r="D15" s="3" t="n">
        <v>4</v>
      </c>
      <c r="E15" s="3" t="n"/>
      <c r="F15" s="3" t="n"/>
      <c r="G15" s="3" t="n"/>
      <c r="H15" s="3" t="n">
        <v>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8" customWidth="1" min="4" max="4"/>
    <col width="2" customWidth="1" min="5" max="5"/>
    <col width="14" customWidth="1" min="6" max="6"/>
  </cols>
  <sheetData>
    <row r="1">
      <c r="A1" s="1" t="inlineStr">
        <is>
          <t>■ 청구항목 합산 테스트</t>
        </is>
      </c>
    </row>
    <row r="2"/>
    <row r="3">
      <c r="A3" s="2" t="inlineStr">
        <is>
          <t>청구항목</t>
        </is>
      </c>
      <c r="B3" s="2" t="inlineStr">
        <is>
          <t>금액</t>
        </is>
      </c>
      <c r="C3" s="2" t="inlineStr">
        <is>
          <t>포함대상</t>
        </is>
      </c>
      <c r="D3" s="2" t="inlineStr">
        <is>
          <t>비고</t>
        </is>
      </c>
      <c r="F3" t="inlineStr">
        <is>
          <t>기대합계</t>
        </is>
      </c>
    </row>
    <row r="4">
      <c r="A4" s="3" t="inlineStr">
        <is>
          <t>기본료</t>
        </is>
      </c>
      <c r="B4" s="3" t="n">
        <v>10000</v>
      </c>
      <c r="C4" s="3" t="inlineStr">
        <is>
          <t>Y</t>
        </is>
      </c>
      <c r="D4" s="3" t="inlineStr">
        <is>
          <t>포함</t>
        </is>
      </c>
      <c r="F4" t="n">
        <v>37000</v>
      </c>
    </row>
    <row r="5">
      <c r="A5" s="3" t="inlineStr">
        <is>
          <t>전국대표 포함한 기본료</t>
        </is>
      </c>
      <c r="B5" s="3" t="n">
        <v>12000</v>
      </c>
      <c r="C5" s="3" t="inlineStr">
        <is>
          <t>Y</t>
        </is>
      </c>
      <c r="D5" s="3" t="inlineStr">
        <is>
          <t>포함</t>
        </is>
      </c>
      <c r="F5" t="inlineStr">
        <is>
          <t>월구전화 기본료는 제외</t>
        </is>
      </c>
    </row>
    <row r="6">
      <c r="A6" s="3" t="inlineStr">
        <is>
          <t>080포함한 기본료</t>
        </is>
      </c>
      <c r="B6" s="3" t="n">
        <v>15000</v>
      </c>
      <c r="C6" s="3" t="inlineStr">
        <is>
          <t>Y</t>
        </is>
      </c>
      <c r="D6" s="3" t="inlineStr">
        <is>
          <t>포함</t>
        </is>
      </c>
    </row>
    <row r="7">
      <c r="A7" s="3" t="inlineStr">
        <is>
          <t>월구전화 기본료</t>
        </is>
      </c>
      <c r="B7" s="3" t="n">
        <v>90000</v>
      </c>
      <c r="C7" s="3" t="inlineStr">
        <is>
          <t>N</t>
        </is>
      </c>
      <c r="D7" s="3" t="inlineStr">
        <is>
          <t>제외해야 함</t>
        </is>
      </c>
    </row>
    <row r="8">
      <c r="A8" s="3" t="inlineStr">
        <is>
          <t>기본료 할인</t>
        </is>
      </c>
      <c r="B8" s="3" t="n">
        <v>-1000</v>
      </c>
      <c r="C8" s="3" t="inlineStr">
        <is>
          <t>N</t>
        </is>
      </c>
      <c r="D8" s="3" t="inlineStr">
        <is>
          <t>제외해야 함</t>
        </is>
      </c>
    </row>
    <row r="9">
      <c r="A9" s="3" t="inlineStr">
        <is>
          <t>데이터 기본료</t>
        </is>
      </c>
      <c r="B9" s="3" t="n">
        <v>3000</v>
      </c>
      <c r="C9" s="3" t="inlineStr">
        <is>
          <t>N</t>
        </is>
      </c>
      <c r="D9" s="3" t="inlineStr">
        <is>
          <t>제외해야 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2026-06-09T10:34:45Z</dcterms:created>
  <dcterms:modified xmlns:dcterms="http://purl.org/dc/terms/" xmlns:xsi="http://www.w3.org/2001/XMLSchema-instance" xsi:type="dcterms:W3CDTF">2026-06-09T10:34:45Z</dcterms:modified>
</cp:coreProperties>
</file>